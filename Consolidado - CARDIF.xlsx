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\OneDrive\Documentos\TakeDelivery\Bases\"/>
    </mc:Choice>
  </mc:AlternateContent>
  <xr:revisionPtr revIDLastSave="0" documentId="13_ncr:1_{27C5EA65-0F05-456F-807B-A8BE7155ED68}" xr6:coauthVersionLast="47" xr6:coauthVersionMax="47" xr10:uidLastSave="{00000000-0000-0000-0000-000000000000}"/>
  <bookViews>
    <workbookView xWindow="-108" yWindow="-108" windowWidth="23256" windowHeight="12456" activeTab="1" xr2:uid="{7BE8A16D-EC23-46D3-9CCB-F61BC1F823AB}"/>
  </bookViews>
  <sheets>
    <sheet name="Dinâmica" sheetId="13" r:id="rId1"/>
    <sheet name="Base - Cardif" sheetId="1" r:id="rId2"/>
    <sheet name="Status" sheetId="2" r:id="rId3"/>
    <sheet name="Atividades-Analistas" sheetId="15" r:id="rId4"/>
    <sheet name="Sistema" sheetId="16" r:id="rId5"/>
    <sheet name="Deshboard" sheetId="14" state="hidden" r:id="rId6"/>
  </sheets>
  <definedNames>
    <definedName name="_xlnm._FilterDatabase" localSheetId="1" hidden="1">'Base - Cardif'!$A$1:$N$301</definedName>
  </definedNames>
  <calcPr calcId="181029"/>
  <pivotCaches>
    <pivotCache cacheId="9" r:id="rId7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89" i="1" l="1"/>
  <c r="B11" i="1"/>
  <c r="B5" i="1"/>
  <c r="B300" i="1"/>
  <c r="B6" i="1"/>
  <c r="B288" i="1"/>
  <c r="B292" i="1"/>
  <c r="B7" i="1"/>
  <c r="B8" i="1"/>
  <c r="B9" i="1"/>
  <c r="B10" i="1"/>
  <c r="B284" i="1"/>
  <c r="B299" i="1"/>
  <c r="B285" i="1"/>
  <c r="B286" i="1"/>
  <c r="B2" i="1"/>
  <c r="B3" i="1"/>
  <c r="B287" i="1"/>
  <c r="B4" i="1"/>
  <c r="B21" i="1"/>
  <c r="B298" i="1"/>
  <c r="B78" i="1"/>
  <c r="B294" i="1"/>
  <c r="B76" i="1"/>
  <c r="B296" i="1"/>
  <c r="B295" i="1"/>
  <c r="B297" i="1"/>
  <c r="B282" i="1"/>
  <c r="B283" i="1"/>
  <c r="B77" i="1"/>
  <c r="B23" i="1"/>
  <c r="B74" i="1"/>
  <c r="B277" i="1"/>
  <c r="B274" i="1"/>
  <c r="B75" i="1"/>
  <c r="B279" i="1"/>
  <c r="B278" i="1"/>
  <c r="B280" i="1"/>
  <c r="B281" i="1"/>
  <c r="B276" i="1"/>
  <c r="B275" i="1"/>
  <c r="B270" i="1"/>
  <c r="B73" i="1"/>
  <c r="B268" i="1"/>
  <c r="B271" i="1"/>
  <c r="B269" i="1"/>
  <c r="B265" i="1"/>
  <c r="B272" i="1"/>
  <c r="B266" i="1"/>
  <c r="B267" i="1"/>
  <c r="B273" i="1"/>
  <c r="B262" i="1"/>
  <c r="B22" i="1"/>
  <c r="B20" i="1"/>
  <c r="B263" i="1"/>
  <c r="B72" i="1"/>
  <c r="B264" i="1"/>
  <c r="B71" i="1"/>
  <c r="B257" i="1"/>
  <c r="B19" i="1"/>
  <c r="B69" i="1"/>
  <c r="B259" i="1"/>
  <c r="B68" i="1"/>
  <c r="B291" i="1"/>
  <c r="B70" i="1"/>
  <c r="B261" i="1"/>
  <c r="B258" i="1"/>
  <c r="B260" i="1"/>
  <c r="B256" i="1"/>
  <c r="B253" i="1"/>
  <c r="B251" i="1"/>
  <c r="B66" i="1"/>
  <c r="B254" i="1"/>
  <c r="B250" i="1"/>
  <c r="B252" i="1"/>
  <c r="B65" i="1"/>
  <c r="B255" i="1"/>
  <c r="B67" i="1"/>
  <c r="B249" i="1"/>
  <c r="B245" i="1"/>
  <c r="B241" i="1"/>
  <c r="B247" i="1"/>
  <c r="B244" i="1"/>
  <c r="B242" i="1"/>
  <c r="B243" i="1"/>
  <c r="B240" i="1"/>
  <c r="B248" i="1"/>
  <c r="B246" i="1"/>
  <c r="B177" i="1"/>
  <c r="B24" i="1"/>
  <c r="B107" i="1"/>
  <c r="B112" i="1"/>
  <c r="B111" i="1"/>
  <c r="B110" i="1"/>
  <c r="B113" i="1"/>
  <c r="B108" i="1"/>
  <c r="B109" i="1"/>
  <c r="B26" i="1"/>
  <c r="B120" i="1"/>
  <c r="B121" i="1"/>
  <c r="B116" i="1"/>
  <c r="B115" i="1"/>
  <c r="B117" i="1"/>
  <c r="B114" i="1"/>
  <c r="B119" i="1"/>
  <c r="B118" i="1"/>
  <c r="B132" i="1"/>
  <c r="B27" i="1"/>
  <c r="B126" i="1"/>
  <c r="B28" i="1"/>
  <c r="B29" i="1"/>
  <c r="B79" i="1"/>
  <c r="B123" i="1"/>
  <c r="B122" i="1"/>
  <c r="B124" i="1"/>
  <c r="B128" i="1"/>
  <c r="B131" i="1"/>
  <c r="B127" i="1"/>
  <c r="B130" i="1"/>
  <c r="B125" i="1"/>
  <c r="B129" i="1"/>
  <c r="B30" i="1"/>
  <c r="B137" i="1"/>
  <c r="B140" i="1"/>
  <c r="B134" i="1"/>
  <c r="B136" i="1"/>
  <c r="B138" i="1"/>
  <c r="B142" i="1"/>
  <c r="B135" i="1"/>
  <c r="B141" i="1"/>
  <c r="B80" i="1"/>
  <c r="B139" i="1"/>
  <c r="B133" i="1"/>
  <c r="B143" i="1"/>
  <c r="B144" i="1"/>
  <c r="B34" i="1"/>
  <c r="B32" i="1"/>
  <c r="B33" i="1"/>
  <c r="B149" i="1"/>
  <c r="B154" i="1"/>
  <c r="B150" i="1"/>
  <c r="B153" i="1"/>
  <c r="B151" i="1"/>
  <c r="B152" i="1"/>
  <c r="B31" i="1"/>
  <c r="B146" i="1"/>
  <c r="B147" i="1"/>
  <c r="B148" i="1"/>
  <c r="B81" i="1"/>
  <c r="B145" i="1"/>
  <c r="B35" i="1"/>
  <c r="B155" i="1"/>
  <c r="B36" i="1"/>
  <c r="B158" i="1"/>
  <c r="B163" i="1"/>
  <c r="B166" i="1"/>
  <c r="B156" i="1"/>
  <c r="B161" i="1"/>
  <c r="B165" i="1"/>
  <c r="B157" i="1"/>
  <c r="B159" i="1"/>
  <c r="B160" i="1"/>
  <c r="B37" i="1"/>
  <c r="B162" i="1"/>
  <c r="B164" i="1"/>
  <c r="B38" i="1"/>
  <c r="B178" i="1"/>
  <c r="B167" i="1"/>
  <c r="B168" i="1"/>
  <c r="B172" i="1"/>
  <c r="B173" i="1"/>
  <c r="B171" i="1"/>
  <c r="B174" i="1"/>
  <c r="B175" i="1"/>
  <c r="B170" i="1"/>
  <c r="B82" i="1"/>
  <c r="B83" i="1"/>
  <c r="B84" i="1"/>
  <c r="B169" i="1"/>
  <c r="B176" i="1"/>
  <c r="B41" i="1"/>
  <c r="B40" i="1"/>
  <c r="B43" i="1"/>
  <c r="B39" i="1"/>
  <c r="B42" i="1"/>
  <c r="B181" i="1"/>
  <c r="B88" i="1"/>
  <c r="B85" i="1"/>
  <c r="B89" i="1"/>
  <c r="B183" i="1"/>
  <c r="B179" i="1"/>
  <c r="B180" i="1"/>
  <c r="B184" i="1"/>
  <c r="B86" i="1"/>
  <c r="B87" i="1"/>
  <c r="B182" i="1"/>
  <c r="B48" i="1"/>
  <c r="B186" i="1"/>
  <c r="B44" i="1"/>
  <c r="B47" i="1"/>
  <c r="B45" i="1"/>
  <c r="B46" i="1"/>
  <c r="B90" i="1"/>
  <c r="B93" i="1"/>
  <c r="B185" i="1"/>
  <c r="B189" i="1"/>
  <c r="B187" i="1"/>
  <c r="B190" i="1"/>
  <c r="B188" i="1"/>
  <c r="B191" i="1"/>
  <c r="B192" i="1"/>
  <c r="B91" i="1"/>
  <c r="B92" i="1"/>
  <c r="B195" i="1"/>
  <c r="B194" i="1"/>
  <c r="B193" i="1"/>
  <c r="B49" i="1"/>
  <c r="B51" i="1"/>
  <c r="B201" i="1"/>
  <c r="B196" i="1"/>
  <c r="B198" i="1"/>
  <c r="B94" i="1"/>
  <c r="B197" i="1"/>
  <c r="B95" i="1"/>
  <c r="B96" i="1"/>
  <c r="B97" i="1"/>
  <c r="B52" i="1"/>
  <c r="B200" i="1"/>
  <c r="B98" i="1"/>
  <c r="B50" i="1"/>
  <c r="B199" i="1"/>
  <c r="B203" i="1"/>
  <c r="B99" i="1"/>
  <c r="B100" i="1"/>
  <c r="B101" i="1"/>
  <c r="B102" i="1"/>
  <c r="B103" i="1"/>
  <c r="B104" i="1"/>
  <c r="B105" i="1"/>
  <c r="B106" i="1"/>
  <c r="B202" i="1"/>
  <c r="B204" i="1"/>
  <c r="B54" i="1"/>
  <c r="B53" i="1"/>
  <c r="B208" i="1"/>
  <c r="B209" i="1"/>
  <c r="B210" i="1"/>
  <c r="B205" i="1"/>
  <c r="B206" i="1"/>
  <c r="B207" i="1"/>
  <c r="B211" i="1"/>
  <c r="B55" i="1"/>
  <c r="B293" i="1"/>
  <c r="B217" i="1"/>
  <c r="B215" i="1"/>
  <c r="B218" i="1"/>
  <c r="B214" i="1"/>
  <c r="B213" i="1"/>
  <c r="B212" i="1"/>
  <c r="B219" i="1"/>
  <c r="B216" i="1"/>
  <c r="B56" i="1"/>
  <c r="B58" i="1"/>
  <c r="B57" i="1"/>
  <c r="B220" i="1"/>
  <c r="B221" i="1"/>
  <c r="B225" i="1"/>
  <c r="B224" i="1"/>
  <c r="B222" i="1"/>
  <c r="B223" i="1"/>
  <c r="B226" i="1"/>
  <c r="B229" i="1"/>
  <c r="B60" i="1"/>
  <c r="B231" i="1"/>
  <c r="B62" i="1"/>
  <c r="B230" i="1"/>
  <c r="B228" i="1"/>
  <c r="B61" i="1"/>
  <c r="B63" i="1"/>
  <c r="B59" i="1"/>
  <c r="B227" i="1"/>
  <c r="B233" i="1"/>
  <c r="B236" i="1"/>
  <c r="B237" i="1"/>
  <c r="B234" i="1"/>
  <c r="B232" i="1"/>
  <c r="B64" i="1"/>
  <c r="B239" i="1"/>
  <c r="B235" i="1"/>
  <c r="B238" i="1"/>
  <c r="B25" i="1"/>
</calcChain>
</file>

<file path=xl/sharedStrings.xml><?xml version="1.0" encoding="utf-8"?>
<sst xmlns="http://schemas.openxmlformats.org/spreadsheetml/2006/main" count="1727" uniqueCount="539">
  <si>
    <t>EDNA MARTINS GUEDES</t>
  </si>
  <si>
    <t xml:space="preserve">JANETE APARECIDA B BARBOSA </t>
  </si>
  <si>
    <t>ERICA PAULA GIMENES TIMOTES</t>
  </si>
  <si>
    <t xml:space="preserve">ROSALINA LUIZ   </t>
  </si>
  <si>
    <t>ALICE DUARTE CEZARIO</t>
  </si>
  <si>
    <t>JOAO PEREIRA DOS SANTOS</t>
  </si>
  <si>
    <t>DAIANE PADILHA MACHADO</t>
  </si>
  <si>
    <t>MARTA MARCIA RAMOS</t>
  </si>
  <si>
    <t xml:space="preserve">EDEVALDO DO NASCIMENTO GRIBLER </t>
  </si>
  <si>
    <t>JOAO SOUSA</t>
  </si>
  <si>
    <t>EDILENE PIRES DOS SANTOS</t>
  </si>
  <si>
    <t>PAULO HENRIQUE GOMES</t>
  </si>
  <si>
    <t>SOELI PAGEL</t>
  </si>
  <si>
    <t xml:space="preserve">ALEX DANILO POLON ( barbearia </t>
  </si>
  <si>
    <t xml:space="preserve"> NILZEIDE MENDONCA ARAGAO</t>
  </si>
  <si>
    <t>PEDRO ALVES DE BARROS</t>
  </si>
  <si>
    <t>Sonia Moreira Lorenci</t>
  </si>
  <si>
    <t>LENIRA RODRIGUES DE LIMA</t>
  </si>
  <si>
    <t>VITOR DE SOUZA DE ANTONIO</t>
  </si>
  <si>
    <t>LEIDIANE BUENO DOS SANTOS CARDOSO</t>
  </si>
  <si>
    <t>LUIZ GUSTAVO MOTA</t>
  </si>
  <si>
    <t xml:space="preserve">THAMIRES MARINS </t>
  </si>
  <si>
    <t xml:space="preserve">IRACI SUSSIA </t>
  </si>
  <si>
    <t>LEONILDO FRAGOSO</t>
  </si>
  <si>
    <t>KATLLEY LORRANY CARDOSO COELHO</t>
  </si>
  <si>
    <t>MAURICIO DOS SANTOS DA SILVA</t>
  </si>
  <si>
    <t>ANGELITA GIANE TARREGA</t>
  </si>
  <si>
    <t>LAIS DA PAIXAO RIGONATO</t>
  </si>
  <si>
    <t>EMERSON PEREIRA</t>
  </si>
  <si>
    <t>VILMAR SOARES SANTOS</t>
  </si>
  <si>
    <t xml:space="preserve">ALCINDO DE OLIVEIRA </t>
  </si>
  <si>
    <t>ANA CAROLINY DE OLIVEIRA SANTO</t>
  </si>
  <si>
    <t>EVERSON ORLANDO DA COSTA</t>
  </si>
  <si>
    <t>CATARINE CB DE MEDEIROS</t>
  </si>
  <si>
    <t xml:space="preserve">DENIZIA APARECIDA GOMES </t>
  </si>
  <si>
    <t>SEBASTIAO PIRES DE GODOY x NELSA</t>
  </si>
  <si>
    <t>CRISTIANO FERNANDO DE MENDONCA</t>
  </si>
  <si>
    <t>JOSE VALCIR GOMES DA SILVA</t>
  </si>
  <si>
    <t xml:space="preserve">NAIRA CRISTINA MARTINS </t>
  </si>
  <si>
    <t>ALESSANDRO FERREIRA DA SILVA</t>
  </si>
  <si>
    <t>AFONSO GONCALVES DE OLIVEIRA</t>
  </si>
  <si>
    <t xml:space="preserve">HELENA HANNA NASSER </t>
  </si>
  <si>
    <t>AMAURI  CLAUDINO</t>
  </si>
  <si>
    <t xml:space="preserve">PATRICIA XAVIER R SCHAVION </t>
  </si>
  <si>
    <t>LUANA DOMINGUES</t>
  </si>
  <si>
    <t xml:space="preserve">MARIA JOSE RODRIGUES EVANGELISTA </t>
  </si>
  <si>
    <t>EMILLY EDUARDA DE CASTRO</t>
  </si>
  <si>
    <t>EVA LEONOR CORREA DA LUZ</t>
  </si>
  <si>
    <t>MARIA L RIBEIRO CUNHA</t>
  </si>
  <si>
    <t>DYEGO INACIO DE BRITO</t>
  </si>
  <si>
    <t>LEONARDO LEMES CARUSSI</t>
  </si>
  <si>
    <t>SONIA DA SILVA ALCARAZ</t>
  </si>
  <si>
    <t>JUSSARA AIRES VAZ</t>
  </si>
  <si>
    <t>ELIANE MONTAGNA</t>
  </si>
  <si>
    <t>MARIA JOSE DA SILVA</t>
  </si>
  <si>
    <t>ANGELA MARIA FIGUEIREDO</t>
  </si>
  <si>
    <t>DIONIZIO HONORIO DE OLIVEIRA NETO</t>
  </si>
  <si>
    <t> MARIA DE CASSIA SILVA DOS SANT</t>
  </si>
  <si>
    <t>SANDRO LUCIANO DOS SANTOS</t>
  </si>
  <si>
    <t>MARIA ROSA DA COSTA SILVA</t>
  </si>
  <si>
    <t>SUCESSO</t>
  </si>
  <si>
    <t>FLAVIA FERNANDA MARTINS BOMFIM</t>
  </si>
  <si>
    <t>JACIRA APARECIDA SAMPAIO NICOL</t>
  </si>
  <si>
    <t>ANDERSON JOSE DOS SANTOS</t>
  </si>
  <si>
    <t>MARIA QUINOR SILVA</t>
  </si>
  <si>
    <t xml:space="preserve">NILDO KOCHEMBORGER </t>
  </si>
  <si>
    <t>LUCIA REGINA DA SILVA SILVEIRA</t>
  </si>
  <si>
    <t xml:space="preserve">LAURA CAROLINE SILVA SOUZA </t>
  </si>
  <si>
    <t>MARIA GRACIVETE DA SILVA</t>
  </si>
  <si>
    <t>SIMONE MENDES DA SILVA</t>
  </si>
  <si>
    <t>ALEXANDRE VALADAO DE FREITAS</t>
  </si>
  <si>
    <t xml:space="preserve">JAIR ALVES DOS REIS  </t>
  </si>
  <si>
    <t xml:space="preserve">JOAO VITOR DE AZAMBUJA SILVA </t>
  </si>
  <si>
    <t xml:space="preserve">JOSE LAERCIO RODRIGUES </t>
  </si>
  <si>
    <t xml:space="preserve">SONIA CARDOSO JOAO </t>
  </si>
  <si>
    <t xml:space="preserve">FERNANDA DOS SANTOS </t>
  </si>
  <si>
    <t>MICHEL LUCAS CUSTODIO SILVA</t>
  </si>
  <si>
    <t xml:space="preserve">ROGERIO FIGUEREDO </t>
  </si>
  <si>
    <t>AGUARDANDO LAUDO</t>
  </si>
  <si>
    <t>FERNANDA CAROLINE CHAGAS TOSCANO</t>
  </si>
  <si>
    <t>ANTONIO DONIZETI CREPALDI</t>
  </si>
  <si>
    <t xml:space="preserve">KATIA NUNES </t>
  </si>
  <si>
    <t>MARIA ROSA OLIVEIRA MARTINS</t>
  </si>
  <si>
    <t>RENE ASSIS</t>
  </si>
  <si>
    <t xml:space="preserve">RACI MARIA DE ALMEIDA </t>
  </si>
  <si>
    <t>RENATA LOBO SILVA</t>
  </si>
  <si>
    <t>LUIS BOESING</t>
  </si>
  <si>
    <t>FELIPE DAGNER DA SILVA TEIXEIRA</t>
  </si>
  <si>
    <t xml:space="preserve">JACQUELINE RIBEIRO DA SILVA </t>
  </si>
  <si>
    <t>SEM SUCESSO</t>
  </si>
  <si>
    <t xml:space="preserve"> BRUNA STEPHANY SILVA DE MATOS</t>
  </si>
  <si>
    <t xml:space="preserve">GIOVANNA ROMERO DE SOUZA </t>
  </si>
  <si>
    <t>GIOVANNA ALMEIDA DE JESUS</t>
  </si>
  <si>
    <t xml:space="preserve"> NELY ALVES TAVEIRA RODRIGUES</t>
  </si>
  <si>
    <t>JULIO CESAR FERNANDES</t>
  </si>
  <si>
    <t xml:space="preserve">CINARA MACHADO SILVA DE OLIVEI </t>
  </si>
  <si>
    <t>ADRIANA TURIANI FUCHS</t>
  </si>
  <si>
    <t>DAMIAO DOS ANJOS HONORIO</t>
  </si>
  <si>
    <t>ALBERTO RICARDO BRUSCAGIM</t>
  </si>
  <si>
    <t>MARLENE PEREZ</t>
  </si>
  <si>
    <t xml:space="preserve">ROSILEIA APARECIDA GEREMIAS FRETTA </t>
  </si>
  <si>
    <t xml:space="preserve">SIMONE RIBEIRO FERNANDES </t>
  </si>
  <si>
    <t>DEIVISSON DA SILVA VILELA</t>
  </si>
  <si>
    <t xml:space="preserve">ANA CAROLLINA RODRIGUES RIBEIRO </t>
  </si>
  <si>
    <t>ROBERTO APARECIDO GARCIA</t>
  </si>
  <si>
    <t>DEISE ESPINDOLA DA SILVEIRA</t>
  </si>
  <si>
    <t>TIAGO GERALDO DE SOUSA</t>
  </si>
  <si>
    <t xml:space="preserve">VERA LUCIA SOARES </t>
  </si>
  <si>
    <t>ANA CLAUDIA ARAGON</t>
  </si>
  <si>
    <t>RAFAEL PACIFICO JUNIOR</t>
  </si>
  <si>
    <t>ERENILDE DAS NEVES MAGALHAES</t>
  </si>
  <si>
    <t>LOURDES IOLANDA SOTILLI</t>
  </si>
  <si>
    <t xml:space="preserve">APARECIDA DAS DORES DE LIMA OCHOA </t>
  </si>
  <si>
    <t xml:space="preserve">DAIANE CAPELA RESPLANDES </t>
  </si>
  <si>
    <t>TATIANE CAMBAROTTO</t>
  </si>
  <si>
    <t xml:space="preserve">MIGUEL JOSE FRANCISCO </t>
  </si>
  <si>
    <t>PAOLA ROCHA DA SILVA</t>
  </si>
  <si>
    <t xml:space="preserve"> LEANDRO GUSTAVO GUILHEN MARQUE </t>
  </si>
  <si>
    <t xml:space="preserve">MORIZE MESSINA MELLO  </t>
  </si>
  <si>
    <t>LILIANE DOS SANTOS LOIOLA</t>
  </si>
  <si>
    <t>CELIO DE SOUZA PEREIRA</t>
  </si>
  <si>
    <t>CLAUDIA ROBERTA VIEIRA DANTAS</t>
  </si>
  <si>
    <t>Adriana Joao Ramalho</t>
  </si>
  <si>
    <t>ROSANIA MATTEI NOGUEIRA</t>
  </si>
  <si>
    <t>TALITA VITORIA SOARES MACIEL</t>
  </si>
  <si>
    <t>LEOMAR DE SOUZA RODOVALHO</t>
  </si>
  <si>
    <t>JOSE LIMA DOS SANTOS</t>
  </si>
  <si>
    <t>DALVA DE JESUS MONTEIRO GOMES</t>
  </si>
  <si>
    <t>JAIR GROSSI</t>
  </si>
  <si>
    <t>FLAVIO LOURENCO DE OLIVEIRA</t>
  </si>
  <si>
    <t>LUZ MARINA DOS SANTOS MARISCAL</t>
  </si>
  <si>
    <t>NERCI SCHIMITZ DIAS</t>
  </si>
  <si>
    <t>FENELON VELOSO FERREIRA</t>
  </si>
  <si>
    <t>GLAUCO RODRIGUES FELTRIN</t>
  </si>
  <si>
    <t>FAGNER BERNARDES DA SILVA</t>
  </si>
  <si>
    <t>EDELSON THEODORO</t>
  </si>
  <si>
    <t>JOSE CLAUDIO DOS SANTOS</t>
  </si>
  <si>
    <t> GABRIELA APARECIDA JURADO</t>
  </si>
  <si>
    <t>VITALINA CAETANA FERREIRA SOUZA</t>
  </si>
  <si>
    <t>LUCAS WANDERLEY RAMOS DE OLIVEIRA</t>
  </si>
  <si>
    <t>MARIA COSTA</t>
  </si>
  <si>
    <t>NEIVON VIEIRA DA SILVA</t>
  </si>
  <si>
    <t>FERNANDO SILVA ANDRADE SOUZA</t>
  </si>
  <si>
    <t>MARIA FATIMA SILVA ROCHA</t>
  </si>
  <si>
    <t>MELISSA DA SILVEIRA DA SILVA</t>
  </si>
  <si>
    <t>IZABEL CRISTINA LOPES DOS SANTOS</t>
  </si>
  <si>
    <t>VISTORIA AGENDADA</t>
  </si>
  <si>
    <t>14H00</t>
  </si>
  <si>
    <t>15H00</t>
  </si>
  <si>
    <t>16H30</t>
  </si>
  <si>
    <t>15H30</t>
  </si>
  <si>
    <t>17HOO</t>
  </si>
  <si>
    <t>10H00</t>
  </si>
  <si>
    <t>13H30</t>
  </si>
  <si>
    <t>11H30</t>
  </si>
  <si>
    <t>11H00</t>
  </si>
  <si>
    <t>17H00</t>
  </si>
  <si>
    <t>18H00</t>
  </si>
  <si>
    <t>13H00</t>
  </si>
  <si>
    <t>13H15</t>
  </si>
  <si>
    <t>09H00</t>
  </si>
  <si>
    <t>09H30</t>
  </si>
  <si>
    <t>10H30</t>
  </si>
  <si>
    <t>16H40</t>
  </si>
  <si>
    <t>18H30</t>
  </si>
  <si>
    <t>12H00</t>
  </si>
  <si>
    <t>17h00</t>
  </si>
  <si>
    <t>10h00</t>
  </si>
  <si>
    <t>18h00</t>
  </si>
  <si>
    <t>VISTORIA REALIZADA</t>
  </si>
  <si>
    <t xml:space="preserve">.Verificar se fizemos o laudo de Insucesso.
.Verificar se Enviamos o Laudo.
.Verificar se o Sinistro foi Finalizado no sistema
</t>
  </si>
  <si>
    <t>Direcionar a agenda para os Analistas</t>
  </si>
  <si>
    <t xml:space="preserve">.Verificar se fizemos o laudo.
.Verificar se Enviamos o Laudo.
.Verificar se o Sinistro foi Finalizado no sistema
</t>
  </si>
  <si>
    <t>AGUARDANDO VISTORIA</t>
  </si>
  <si>
    <t>.Realizar Contato com Cliente para Agendamento da Vistoria.</t>
  </si>
  <si>
    <t>18H10</t>
  </si>
  <si>
    <t>STATUS</t>
  </si>
  <si>
    <t>HORA</t>
  </si>
  <si>
    <t>DATA DA VISTORIA</t>
  </si>
  <si>
    <t>DATA DO CONTATO</t>
  </si>
  <si>
    <t>PRODUTO</t>
  </si>
  <si>
    <t>SINISTRO</t>
  </si>
  <si>
    <t>DATA</t>
  </si>
  <si>
    <t>CLIENTE</t>
  </si>
  <si>
    <t>INSUCESSO</t>
  </si>
  <si>
    <t>REFRIGERADOR</t>
  </si>
  <si>
    <t xml:space="preserve">TELEVISOR </t>
  </si>
  <si>
    <t>LAVADORA</t>
  </si>
  <si>
    <t>CONTATOS</t>
  </si>
  <si>
    <t>DATA DE ENVIO LAUDO</t>
  </si>
  <si>
    <t>ERVINO CARLOS</t>
  </si>
  <si>
    <t>PURIFICADOR DE ÁGUA</t>
  </si>
  <si>
    <t>POSSUI DANO ELÉTRICO</t>
  </si>
  <si>
    <t>NÃO</t>
  </si>
  <si>
    <t>SIM</t>
  </si>
  <si>
    <t>TAT</t>
  </si>
  <si>
    <t>TELEVISOR</t>
  </si>
  <si>
    <t>-</t>
  </si>
  <si>
    <t>12h00</t>
  </si>
  <si>
    <t>FREEZER</t>
  </si>
  <si>
    <t>TELEVISOR 32¨- TELEVISOR 39¨</t>
  </si>
  <si>
    <t>FORNO MICROONDAS</t>
  </si>
  <si>
    <t>KELE CRISTINA LIAR F AZAMBUJA</t>
  </si>
  <si>
    <t>ODAIR DONIZETE CONTARIN</t>
  </si>
  <si>
    <t>JULIANA FERREIRA RIBEIRO ARANT</t>
  </si>
  <si>
    <t>COOKTOP DE INDUÇÃO</t>
  </si>
  <si>
    <t>MARIANA DA SILVA QUIRINO</t>
  </si>
  <si>
    <t>LUIZ PEDRO MOREIRA LOPES</t>
  </si>
  <si>
    <t>MARINALVA PEREIRA LOPES</t>
  </si>
  <si>
    <t>CLAUDINEI VICENTE DOS SANTOS</t>
  </si>
  <si>
    <t>ANTONIO SORRENTINI FILHO</t>
  </si>
  <si>
    <t>ZENIR MARGARET DE SOUZA COELHO</t>
  </si>
  <si>
    <t>MARIA CARMO FORZAR INACIO</t>
  </si>
  <si>
    <t>MARIA A OLIVEIRA CRISOSTOMO</t>
  </si>
  <si>
    <t>KEITYANE DINIZ</t>
  </si>
  <si>
    <t>LEA APARECIDA LUPI DE OLIVEIRA</t>
  </si>
  <si>
    <t>MARIA L ANTONIO</t>
  </si>
  <si>
    <t>LUISA CHINELLI SANTOS</t>
  </si>
  <si>
    <t>ANDERSON FERREIRA BENFICA</t>
  </si>
  <si>
    <t>GABRIEL MENDES DE OLIVEIRA</t>
  </si>
  <si>
    <t>CLARICE APARECIDA SERPA NASCIM</t>
  </si>
  <si>
    <t>MARCELO ANDRE HAAG</t>
  </si>
  <si>
    <t>MAICON LUCAS VIANA GARAHI</t>
  </si>
  <si>
    <t>JESSICA MIRIAM MILHEIROS MORETI</t>
  </si>
  <si>
    <t>LUCAS DA SILVA SOUSA</t>
  </si>
  <si>
    <t>FABIO GREEN MORETI</t>
  </si>
  <si>
    <t>ROSILENE DE PAULA RODA</t>
  </si>
  <si>
    <t>VANILDA F M ALMEIDA</t>
  </si>
  <si>
    <t>ANTONIO JACIBIO FACHO NETO</t>
  </si>
  <si>
    <t>SANTINA DE FATIMA HORNANEIS PUSSI</t>
  </si>
  <si>
    <t>IVETE DE FATIMA SILVEIRA</t>
  </si>
  <si>
    <t>MANOEL RIBEIRO</t>
  </si>
  <si>
    <t>ADELMO ALFREDO MALLMANN</t>
  </si>
  <si>
    <t>JUNIOR DAGOSTIN</t>
  </si>
  <si>
    <t>MARIA VITORIA CANDIDO PACAGNAN</t>
  </si>
  <si>
    <t>ANDREA CRISTINA FACONI</t>
  </si>
  <si>
    <t>DIVINO JUSTINO RAFAE</t>
  </si>
  <si>
    <t>AGENDAR VISTORIA</t>
  </si>
  <si>
    <t>JOÃO VICTOR DE SOUSA BATISTA</t>
  </si>
  <si>
    <t>17H41</t>
  </si>
  <si>
    <t>TAISA FERNANDA ZANETTE</t>
  </si>
  <si>
    <t>REMARK</t>
  </si>
  <si>
    <t>8H00</t>
  </si>
  <si>
    <t>16H00</t>
  </si>
  <si>
    <t>17H30</t>
  </si>
  <si>
    <t>19 998860510</t>
  </si>
  <si>
    <t xml:space="preserve">15 981231732 </t>
  </si>
  <si>
    <t> 17996560280</t>
  </si>
  <si>
    <t> 73981320380</t>
  </si>
  <si>
    <t> 17996554296</t>
  </si>
  <si>
    <t>18 997488585</t>
  </si>
  <si>
    <t>16 996165194</t>
  </si>
  <si>
    <t>16 994093448</t>
  </si>
  <si>
    <t>54 991200828</t>
  </si>
  <si>
    <t>48 999739060</t>
  </si>
  <si>
    <t>48 999321345</t>
  </si>
  <si>
    <t xml:space="preserve">19 993357974 </t>
  </si>
  <si>
    <t xml:space="preserve">17 996279280 </t>
  </si>
  <si>
    <t>Nº LAUDOS</t>
  </si>
  <si>
    <t>AR CONDICIONADO - TV - RECEPTOR PARABOLICA</t>
  </si>
  <si>
    <t>INTERFONE CAMPANHIA - MOTOR PORTÃO</t>
  </si>
  <si>
    <t>ROSIVANIA APARECIDA BONETTI</t>
  </si>
  <si>
    <t>NÃO LOCALIZADO LAUDO</t>
  </si>
  <si>
    <t>ANDRE DA SILVA GOMES</t>
  </si>
  <si>
    <t>MARIA APARECIDA FELIX VIEIRA</t>
  </si>
  <si>
    <t>ELISABETE SANTOS ROMAGNOLI</t>
  </si>
  <si>
    <t>FABIANA BEZERRA TAVEIRA</t>
  </si>
  <si>
    <t>CLAUDIO PEDROLI FEILHO</t>
  </si>
  <si>
    <t>SANDRA GONCALVES GOMES</t>
  </si>
  <si>
    <t>Luis Fernando Soderi Borella</t>
  </si>
  <si>
    <t>NELSON ROGERIO DE SOUZA</t>
  </si>
  <si>
    <t xml:space="preserve">ZILDA REIS </t>
  </si>
  <si>
    <t>RODRIGO ADRIANA DE OLIVEIRA</t>
  </si>
  <si>
    <t>51 997651438</t>
  </si>
  <si>
    <t>34 999972134</t>
  </si>
  <si>
    <t>16 997063770</t>
  </si>
  <si>
    <t>12 997773077</t>
  </si>
  <si>
    <t>19 998406545</t>
  </si>
  <si>
    <t>33 987373494</t>
  </si>
  <si>
    <t>19 999911888</t>
  </si>
  <si>
    <t>16 992660337</t>
  </si>
  <si>
    <t xml:space="preserve">62 992565141 / 62 999688107 </t>
  </si>
  <si>
    <t>THIFANY APARECIDA PAIVA DUTRA</t>
  </si>
  <si>
    <t>MARIA RENILDA DA SILVA SANTOS</t>
  </si>
  <si>
    <t>TANIA REGINA BATISTA DA SILVA</t>
  </si>
  <si>
    <t>MARIA SOCORRO DA SILVA LIMA</t>
  </si>
  <si>
    <t xml:space="preserve"> JAIR BAIRROS MACHADO</t>
  </si>
  <si>
    <t>MARIA JOSE DE MISSINA</t>
  </si>
  <si>
    <t>ESCOLASTICA SANTOS</t>
  </si>
  <si>
    <t>NARCISO APARECIDO DE ABREU</t>
  </si>
  <si>
    <t>ONIRIA DIRCE VERONEZ</t>
  </si>
  <si>
    <t>34 996588844</t>
  </si>
  <si>
    <t xml:space="preserve"> 61 995772443 </t>
  </si>
  <si>
    <t>49 991161673</t>
  </si>
  <si>
    <t>16 997548634</t>
  </si>
  <si>
    <t>64 984385899</t>
  </si>
  <si>
    <t>19 995611598</t>
  </si>
  <si>
    <t>16 981186710</t>
  </si>
  <si>
    <t xml:space="preserve"> 83 996252654</t>
  </si>
  <si>
    <t>ENVIAR LAUDO</t>
  </si>
  <si>
    <t>AR CONDICIONADO</t>
  </si>
  <si>
    <t>CAMERA WIFI</t>
  </si>
  <si>
    <t>E-MAIL ENVIADO SEM O LAUDO EM ANEXO.</t>
  </si>
  <si>
    <t>LAVA\SECA-LAVA-LOUÇAS</t>
  </si>
  <si>
    <t>MICHELE ELIZA FERREIRA SIMIÃO</t>
  </si>
  <si>
    <t>MICROONDAS</t>
  </si>
  <si>
    <t>BOMBA DE PISCINA</t>
  </si>
  <si>
    <t>SECADORA</t>
  </si>
  <si>
    <t>SEGURADO NÃO CONSEGUE ACESSAR O LINK PARA REALIZAR A TELE-VISTORIA</t>
  </si>
  <si>
    <t>TELE-VISTORIA AGENDADA PARA 20/03/2026</t>
  </si>
  <si>
    <t>16 98809-3880</t>
  </si>
  <si>
    <t> 6791997385</t>
  </si>
  <si>
    <t> 5197511002</t>
  </si>
  <si>
    <t>8H30</t>
  </si>
  <si>
    <t>REAGENDOU PARA 13/04/2026 às 17h00</t>
  </si>
  <si>
    <t>1909880 </t>
  </si>
  <si>
    <t>EDNA CRISTIANE MARCOLINI</t>
  </si>
  <si>
    <t>19H00</t>
  </si>
  <si>
    <t xml:space="preserve">LUCILENA MARQUES </t>
  </si>
  <si>
    <t>MARIA JOSE DA SILVA FERREIRA</t>
  </si>
  <si>
    <t>THAMYLLA CAROLINE JANUARIO</t>
  </si>
  <si>
    <t>ALZEMAR ROSA DIAS</t>
  </si>
  <si>
    <t>ALVARO BUENO DE GOIS</t>
  </si>
  <si>
    <t>RENATO DOMINGOS PEREIRA</t>
  </si>
  <si>
    <t xml:space="preserve">GISLENE DE BRITO CARVALHO CORREIA </t>
  </si>
  <si>
    <t>ANTONIO JOSE DOS SANTOS</t>
  </si>
  <si>
    <t>VALMIR BARBIERI</t>
  </si>
  <si>
    <t>44 988577772</t>
  </si>
  <si>
    <t>14 998131692</t>
  </si>
  <si>
    <t>33 988043531</t>
  </si>
  <si>
    <t>17 991599619</t>
  </si>
  <si>
    <t>16 997421142</t>
  </si>
  <si>
    <t>86 999926072</t>
  </si>
  <si>
    <t>16 997974828</t>
  </si>
  <si>
    <t>16 993574702</t>
  </si>
  <si>
    <t>46 999342394</t>
  </si>
  <si>
    <t>Contagem de SINISTRO</t>
  </si>
  <si>
    <t>Rótulos de Linha</t>
  </si>
  <si>
    <t>Total Geral</t>
  </si>
  <si>
    <t>Rótulos de Coluna</t>
  </si>
  <si>
    <t> 48 999527342</t>
  </si>
  <si>
    <t>Realizei contato via Tel - Só Chama - Deixei mensagem via WhatsApp</t>
  </si>
  <si>
    <t>09h30</t>
  </si>
  <si>
    <t>15h00</t>
  </si>
  <si>
    <t>Cliente informa que não abriu Sinistro na Seguradora</t>
  </si>
  <si>
    <t>GILBERTO WILLIAN DA CUNHA SANTOS</t>
  </si>
  <si>
    <t>MARINALVA BARTOLOMEU</t>
  </si>
  <si>
    <t>ISMAEL OLIVEIRA DOS SANTOS</t>
  </si>
  <si>
    <t>SIMONE RODRIGUES MAGALHAES</t>
  </si>
  <si>
    <t xml:space="preserve"> ELSON FERREIRA NUNES</t>
  </si>
  <si>
    <t xml:space="preserve">THEODOLINDA BENAGLIA DA SILVA  </t>
  </si>
  <si>
    <t>RICARDO ACIONE RODRIGUES</t>
  </si>
  <si>
    <t xml:space="preserve"> MIGUEL PINHEIRO DA SILVA FILHO</t>
  </si>
  <si>
    <t>NAIR THEODORO MIRALIS</t>
  </si>
  <si>
    <t xml:space="preserve">MARIA ELIANE NUNES PACHECO </t>
  </si>
  <si>
    <t>JOICE DE JESUS ALVES</t>
  </si>
  <si>
    <t>11 982507899</t>
  </si>
  <si>
    <t>77 999578503</t>
  </si>
  <si>
    <t>44 988443913</t>
  </si>
  <si>
    <t>16 999219680</t>
  </si>
  <si>
    <t>13 996627377</t>
  </si>
  <si>
    <t>16 92000-2586</t>
  </si>
  <si>
    <t>55 999934332</t>
  </si>
  <si>
    <t>45 984031456</t>
  </si>
  <si>
    <t>11 964695138</t>
  </si>
  <si>
    <t>48 99686-9036</t>
  </si>
  <si>
    <t>TELEVISOR - LAVADORA - REFRIGERADOR</t>
  </si>
  <si>
    <t>REFLETOR - LAMPADA</t>
  </si>
  <si>
    <t>REFRIGERADOR - AR CONDICIONADO</t>
  </si>
  <si>
    <t>REFRIGERADO</t>
  </si>
  <si>
    <t>LAVADORA - AR CONDICIONADO</t>
  </si>
  <si>
    <t>VENTILADOR</t>
  </si>
  <si>
    <t>Tentei contato - Enviei Mensagem via WhatsApp</t>
  </si>
  <si>
    <t>ANGELICA VICENTE ROCHA</t>
  </si>
  <si>
    <t xml:space="preserve"> 16 991530362  </t>
  </si>
  <si>
    <t>LUIZ CARLOS GERACE</t>
  </si>
  <si>
    <t xml:space="preserve"> 16 997250977</t>
  </si>
  <si>
    <t>CLAUDEMIR DALECIO</t>
  </si>
  <si>
    <t>16 99606-2023</t>
  </si>
  <si>
    <t>FATIMA AMBROSINA DO AMARAL PEREIRA</t>
  </si>
  <si>
    <t>51 986537044 - 55 997010108</t>
  </si>
  <si>
    <t xml:space="preserve">IRMA PINHEIRO ABELLINI </t>
  </si>
  <si>
    <t>19 992193293</t>
  </si>
  <si>
    <t>EGIDIO PEREIRA SILVA</t>
  </si>
  <si>
    <t xml:space="preserve"> 16 997168870 </t>
  </si>
  <si>
    <t xml:space="preserve">ANA LUISA VALADAO VIEIRA GONCALVES </t>
  </si>
  <si>
    <t>TERESINHA DA SILVA</t>
  </si>
  <si>
    <t>47 992239383</t>
  </si>
  <si>
    <t>VITORIA APARECIDA DILIO DE LIMA</t>
  </si>
  <si>
    <t>44 988648265</t>
  </si>
  <si>
    <t>LEONILDO DA SILVA</t>
  </si>
  <si>
    <t>54 996186725</t>
  </si>
  <si>
    <t>15h30</t>
  </si>
  <si>
    <t>11HOO</t>
  </si>
  <si>
    <t>1923366 </t>
  </si>
  <si>
    <t>DIONE CESAR DE SOUZA</t>
  </si>
  <si>
    <t>12H30</t>
  </si>
  <si>
    <t>REINALDO LUIS TIMOTEO</t>
  </si>
  <si>
    <t>ROSANGELA DAS GRACAS SOARES DE LIMA</t>
  </si>
  <si>
    <t>TELEVISOR - PC</t>
  </si>
  <si>
    <t>DIEGO LACERDA DE LIMA</t>
  </si>
  <si>
    <t>JOSE CARLOS MENDES</t>
  </si>
  <si>
    <t xml:space="preserve"> JAQUELINE DE MELO NUNES</t>
  </si>
  <si>
    <t>ELIANA FAGUNDES DOS SANTOS</t>
  </si>
  <si>
    <t>DECODIFICADOR - LAVADORA</t>
  </si>
  <si>
    <t>TELEVISOR - REFRIGERADOR</t>
  </si>
  <si>
    <t>VALDIR DA SILVA</t>
  </si>
  <si>
    <t>16 999791712</t>
  </si>
  <si>
    <t>UNIVERSINO ANTUNES DA SILVA</t>
  </si>
  <si>
    <t xml:space="preserve">BARBARA CURY RAD RODRIGUES REI </t>
  </si>
  <si>
    <t xml:space="preserve">86 988185046 </t>
  </si>
  <si>
    <t>NEUZIVAN DA COSTA SILVA</t>
  </si>
  <si>
    <t>16 999792600</t>
  </si>
  <si>
    <t>FELIPE DO NASCIMENTO</t>
  </si>
  <si>
    <t>48 999407171</t>
  </si>
  <si>
    <t>SILVIA LETICIA CORREA</t>
  </si>
  <si>
    <t>16 994158207</t>
  </si>
  <si>
    <t>PEDRO MONTOIA JUNIOR</t>
  </si>
  <si>
    <t>43 991302243</t>
  </si>
  <si>
    <t>KIZZY SATYRO</t>
  </si>
  <si>
    <t xml:space="preserve">16 997843688 </t>
  </si>
  <si>
    <t>MARIA FATIMA OLIVEIRA SILVA</t>
  </si>
  <si>
    <t>16 994621339</t>
  </si>
  <si>
    <t>15996049973 - 15997407960</t>
  </si>
  <si>
    <t>ELICLAUDIA DE LOURDES DA SILVA</t>
  </si>
  <si>
    <t>12H15</t>
  </si>
  <si>
    <t>LAVADORA-TELEVISOR- TELEVISOR</t>
  </si>
  <si>
    <t>MOTOR DE PORTÃO</t>
  </si>
  <si>
    <t>MOTOR DE PORTÃO - MICROONDAS</t>
  </si>
  <si>
    <t>TANQUINO</t>
  </si>
  <si>
    <t>Tel só Chama</t>
  </si>
  <si>
    <t>Tel cai direto na caixa Postal - Envie mensagem via WhatsApp</t>
  </si>
  <si>
    <t>Tel so Chama - Enviei mensagem via WhatsApp</t>
  </si>
  <si>
    <t>19h00</t>
  </si>
  <si>
    <t>Tel chama duas Vezes e desliga.</t>
  </si>
  <si>
    <t>TIAGO DE SOUSA MENDONCA</t>
  </si>
  <si>
    <t>CLAUDENICE DUTRA DE SENA</t>
  </si>
  <si>
    <t>EMA ANA HOFFMAN DE CASTRO</t>
  </si>
  <si>
    <t>ANSELMO DE OLIVEIRA DOS SANTOS</t>
  </si>
  <si>
    <t>JOSE ANTONIO PAGANOTTI</t>
  </si>
  <si>
    <t>MARA SANTANA DE OLIVEIRA</t>
  </si>
  <si>
    <t>ZILDA RODRIGUES DA SILVA</t>
  </si>
  <si>
    <t xml:space="preserve">CLEUSA APARECIDA PINTO DE SOUZA </t>
  </si>
  <si>
    <t>VALDIR JOAQUIM THOMAZ</t>
  </si>
  <si>
    <t>TIAGO APARECIDO SOARES</t>
  </si>
  <si>
    <t>85 988995881</t>
  </si>
  <si>
    <t>31 984890053</t>
  </si>
  <si>
    <t>54 999971786</t>
  </si>
  <si>
    <t>19 991030324</t>
  </si>
  <si>
    <t>18 991861014</t>
  </si>
  <si>
    <t>19 994542529</t>
  </si>
  <si>
    <t>44 998583127</t>
  </si>
  <si>
    <t>19 992050242</t>
  </si>
  <si>
    <t>Elgair</t>
  </si>
  <si>
    <t>Bruna</t>
  </si>
  <si>
    <t>Ana</t>
  </si>
  <si>
    <t>Reginaldo</t>
  </si>
  <si>
    <t>Marcos</t>
  </si>
  <si>
    <t>Roda a Campanha no ZapForms</t>
  </si>
  <si>
    <t>Atendimento Ligacões Zurich</t>
  </si>
  <si>
    <t>Tele-Vistoria</t>
  </si>
  <si>
    <t>Confecção de Laudo</t>
  </si>
  <si>
    <t>Controle dos novos casos CARDIF</t>
  </si>
  <si>
    <t>Sistema Cardif</t>
  </si>
  <si>
    <t>① Subir a Escala de Trabalho dos analistas e horário de Almoço</t>
  </si>
  <si>
    <t>② Dividir a Pendencia entre os analistas</t>
  </si>
  <si>
    <t>③ Após realizar Tele-Vistoria o sistema fazer o envio do Laudo automaticamente</t>
  </si>
  <si>
    <t>17h30</t>
  </si>
  <si>
    <t>Numero não Existe - Não possui WhatsApp</t>
  </si>
  <si>
    <t>JUSSINALDO ESTEVAM SANTOS</t>
  </si>
  <si>
    <t xml:space="preserve"> NATALINA DE JESUS</t>
  </si>
  <si>
    <t>JULIO LUIS TORRES PIRES</t>
  </si>
  <si>
    <t>MARIA DAS MERCES SILVA</t>
  </si>
  <si>
    <t>ANTONIO MARTINS VIEIRA</t>
  </si>
  <si>
    <t>ROSELI ROJAS NAVARRO DA COSTA</t>
  </si>
  <si>
    <t>VILMAR DE MARCH</t>
  </si>
  <si>
    <t>CRISTINA APARECIDA DA SILVA</t>
  </si>
  <si>
    <t>ADAO ORLI ALVES TRINDADE</t>
  </si>
  <si>
    <t>APARECIDO DOS SANTOS SOUZA</t>
  </si>
  <si>
    <t>19 984429071</t>
  </si>
  <si>
    <t>64 992292368</t>
  </si>
  <si>
    <t>53 991517450</t>
  </si>
  <si>
    <t>16 992161591</t>
  </si>
  <si>
    <t>17 997433893</t>
  </si>
  <si>
    <t>16 991280463</t>
  </si>
  <si>
    <t>44984164893-11 985878787</t>
  </si>
  <si>
    <t>14 981634135-14 997607822</t>
  </si>
  <si>
    <t>46 91084382 - 46 999370513</t>
  </si>
  <si>
    <t>9H00</t>
  </si>
  <si>
    <t>(Tudo)</t>
  </si>
  <si>
    <t>Tel não chama e não tem WhatsApp</t>
  </si>
  <si>
    <t>MOTOR PORTÃO - AR CONDICIONADO</t>
  </si>
  <si>
    <t>NELSON APARECIDO NUNES</t>
  </si>
  <si>
    <t>FERNANDA BARROS DIAS VASCONCELOS MARANGO</t>
  </si>
  <si>
    <t>SANDRA BECKER BONETTE</t>
  </si>
  <si>
    <t>POLIANA DE JESUS GONCALVES</t>
  </si>
  <si>
    <t>NIRA RODRIGUES DOS SANTOS</t>
  </si>
  <si>
    <t xml:space="preserve">ANDREIA GOLFFETTE </t>
  </si>
  <si>
    <t>JOSE ANGELO DE BRITO</t>
  </si>
  <si>
    <t>JUDIVAN ALVES DOS SANTO</t>
  </si>
  <si>
    <t xml:space="preserve">JORGE FERREIRA DA SILVA </t>
  </si>
  <si>
    <t xml:space="preserve">14 999063017 </t>
  </si>
  <si>
    <t>45 988037711</t>
  </si>
  <si>
    <t>64 999226755</t>
  </si>
  <si>
    <t>19 999229327</t>
  </si>
  <si>
    <t>16 996269241</t>
  </si>
  <si>
    <t>18 996735129</t>
  </si>
  <si>
    <t xml:space="preserve"> 18 997537877</t>
  </si>
  <si>
    <t>24  992098542</t>
  </si>
  <si>
    <t>TELEVISOR-LAVA LOUÇA</t>
  </si>
  <si>
    <t>14H30</t>
  </si>
  <si>
    <t>ROSARIA LOURDES DE PAULA</t>
  </si>
  <si>
    <t>PC GAMER</t>
  </si>
  <si>
    <t>JOAO VITOR FERREIRA</t>
  </si>
  <si>
    <t xml:space="preserve">ELEN CAMILA DE JESUS FERRAZ </t>
  </si>
  <si>
    <t>ROSANIA SIQUEIRA ROTUNDO</t>
  </si>
  <si>
    <t>KELY DAIANE SATURNO</t>
  </si>
  <si>
    <t>PC</t>
  </si>
  <si>
    <t>MARCIA LUIZA DA ROCHA</t>
  </si>
  <si>
    <t>LAVADORA - MICROONDAS</t>
  </si>
  <si>
    <t>APARECIDA DO PATROCINIO GALDINO</t>
  </si>
  <si>
    <t>NADIR IBES DOS SANTOS</t>
  </si>
  <si>
    <t>LEANDRO PRUDENCIANO FELIPE</t>
  </si>
  <si>
    <t>RONALDO AUGUSTO DA SILVA</t>
  </si>
  <si>
    <t>LUCIO LUIZ DOS SANTOS PEREIRA JUNIOR</t>
  </si>
  <si>
    <t>RODRIGO EVARISTO DIAS DE SOUZA</t>
  </si>
  <si>
    <t>ADRIANO KLOPPEL</t>
  </si>
  <si>
    <t>RICARDO PADILHA SALDANHA</t>
  </si>
  <si>
    <t>16994582511 - 16991249626</t>
  </si>
  <si>
    <t>MAURICIO DE OLIVEIRA</t>
  </si>
  <si>
    <t>CARLOS SABINO DA SILVA</t>
  </si>
  <si>
    <t>ADIGESSE MARINHO DA SILVA</t>
  </si>
  <si>
    <t>19992979975 -19993677251</t>
  </si>
  <si>
    <t>DAIANE PATRICIA FERREIRA DA COSTA</t>
  </si>
  <si>
    <t>VANESSA MATIAS</t>
  </si>
  <si>
    <t>JOSE LEONCIO DA SILVA</t>
  </si>
  <si>
    <t>FABIO DE MATOS CAVALCANTE</t>
  </si>
  <si>
    <t>PAMELA DE FREITAS PALOMARE DOS SANTOS</t>
  </si>
  <si>
    <t>WEDER CARLOS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</si>
</sst>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0" fillId="0" borderId="0" xfId="0" applyBorder="1"/>
    <xf numFmtId="0" fontId="3" fillId="0" borderId="0" xfId="0" applyFont="1" applyBorder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pivotButton="1" applyFont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3" borderId="0" xfId="0" applyFill="1"/>
    <xf numFmtId="0" fontId="5" fillId="2" borderId="3" xfId="0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pivotButton="1" applyFont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9" fillId="0" borderId="0" xfId="0" applyFont="1"/>
    <xf numFmtId="3" fontId="0" fillId="0" borderId="1" xfId="0" applyNumberFormat="1" applyBorder="1" applyAlignment="1">
      <alignment horizontal="center"/>
    </xf>
    <xf numFmtId="0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147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font>
        <sz val="8"/>
      </font>
    </dxf>
    <dxf>
      <font>
        <sz val="8"/>
      </font>
    </dxf>
    <dxf>
      <font>
        <sz val="8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8"/>
      </font>
    </dxf>
    <dxf>
      <font>
        <sz val="8"/>
      </font>
    </dxf>
    <dxf>
      <font>
        <sz val="8"/>
      </font>
    </dxf>
    <dxf>
      <alignment horizontal="center"/>
    </dxf>
    <dxf>
      <alignment horizontal="center"/>
    </dxf>
    <dxf>
      <font>
        <sz val="8"/>
      </font>
    </dxf>
    <dxf>
      <font>
        <sz val="8"/>
      </font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</dxfs>
  <tableStyles count="0" defaultTableStyle="TableStyleMedium2" defaultPivotStyle="PivotStyleLight16"/>
  <colors>
    <mruColors>
      <color rgb="FF2C3FCE"/>
      <color rgb="FF1D2FDD"/>
      <color rgb="FF1725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</xdr:colOff>
      <xdr:row>7</xdr:row>
      <xdr:rowOff>156210</xdr:rowOff>
    </xdr:from>
    <xdr:ext cx="65" cy="172227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323971C-92EF-4127-8309-BFD909949784}"/>
            </a:ext>
          </a:extLst>
        </xdr:cNvPr>
        <xdr:cNvSpPr txBox="1"/>
      </xdr:nvSpPr>
      <xdr:spPr>
        <a:xfrm>
          <a:off x="640080" y="14363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53788</xdr:rowOff>
    </xdr:from>
    <xdr:to>
      <xdr:col>21</xdr:col>
      <xdr:colOff>167640</xdr:colOff>
      <xdr:row>11</xdr:row>
      <xdr:rowOff>9274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9B5F7FB-CB8B-4C91-9C78-9C642AECA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3788"/>
          <a:ext cx="12969240" cy="1927721"/>
        </a:xfrm>
        <a:prstGeom prst="rect">
          <a:avLst/>
        </a:prstGeom>
      </xdr:spPr>
    </xdr:pic>
    <xdr:clientData/>
  </xdr:twoCellAnchor>
  <xdr:twoCellAnchor editAs="oneCell">
    <xdr:from>
      <xdr:col>0</xdr:col>
      <xdr:colOff>558150</xdr:colOff>
      <xdr:row>10</xdr:row>
      <xdr:rowOff>89668</xdr:rowOff>
    </xdr:from>
    <xdr:to>
      <xdr:col>18</xdr:col>
      <xdr:colOff>152400</xdr:colOff>
      <xdr:row>26</xdr:row>
      <xdr:rowOff>22572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3E9432E-C6A9-4648-9522-460543F32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8150" y="1882609"/>
          <a:ext cx="10567050" cy="2801610"/>
        </a:xfrm>
        <a:prstGeom prst="rect">
          <a:avLst/>
        </a:prstGeom>
      </xdr:spPr>
    </xdr:pic>
    <xdr:clientData/>
  </xdr:twoCellAnchor>
  <xdr:twoCellAnchor editAs="oneCell">
    <xdr:from>
      <xdr:col>0</xdr:col>
      <xdr:colOff>331693</xdr:colOff>
      <xdr:row>25</xdr:row>
      <xdr:rowOff>152403</xdr:rowOff>
    </xdr:from>
    <xdr:to>
      <xdr:col>21</xdr:col>
      <xdr:colOff>412375</xdr:colOff>
      <xdr:row>40</xdr:row>
      <xdr:rowOff>116033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15C8C4E-C994-4322-B404-4DD42AA61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693" y="4634756"/>
          <a:ext cx="12882282" cy="265304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ago Amaral" refreshedDate="46140.439544097222" createdVersion="7" refreshedVersion="7" minRefreshableVersion="3" recordCount="300" xr:uid="{9D580C81-8363-4E6C-A7A7-A01C5D13C1A5}">
  <cacheSource type="worksheet">
    <worksheetSource ref="A1:N301" sheet="Base - Cardif"/>
  </cacheSource>
  <cacheFields count="14">
    <cacheField name="DATA" numFmtId="14">
      <sharedItems containsSemiMixedTypes="0" containsNonDate="0" containsDate="1" containsString="0" minDate="2026-03-02T00:00:00" maxDate="2026-04-28T00:00:00" count="26">
        <d v="2026-04-23T00:00:00"/>
        <d v="2026-04-24T00:00:00"/>
        <d v="2026-04-27T00:00:00"/>
        <d v="2026-04-15T00:00:00"/>
        <d v="2026-04-16T00:00:00"/>
        <d v="2026-04-22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4-06T00:00:00"/>
        <d v="2026-04-07T00:00:00"/>
        <d v="2026-04-08T00:00:00"/>
        <d v="2026-04-09T00:00:00"/>
        <d v="2026-04-10T00:00:00"/>
        <d v="2026-04-14T00:00:00"/>
        <d v="2026-04-17T00:00:00"/>
        <d v="2026-04-20T00:00:00"/>
        <d v="2026-03-16T00:00:00"/>
        <d v="2026-04-13T00:00:00"/>
      </sharedItems>
    </cacheField>
    <cacheField name="TAT" numFmtId="0">
      <sharedItems containsSemiMixedTypes="0" containsString="0" containsNumber="1" containsInteger="1" minValue="1" maxValue="57" count="26">
        <n v="5"/>
        <n v="4"/>
        <n v="1"/>
        <n v="13"/>
        <n v="12"/>
        <n v="6"/>
        <n v="57"/>
        <n v="56"/>
        <n v="55"/>
        <n v="54"/>
        <n v="53"/>
        <n v="50"/>
        <n v="49"/>
        <n v="48"/>
        <n v="47"/>
        <n v="46"/>
        <n v="22"/>
        <n v="21"/>
        <n v="20"/>
        <n v="19"/>
        <n v="18"/>
        <n v="14"/>
        <n v="11"/>
        <n v="8"/>
        <n v="43"/>
        <n v="15"/>
      </sharedItems>
    </cacheField>
    <cacheField name="SINISTRO" numFmtId="0">
      <sharedItems containsMixedTypes="1" containsNumber="1" containsInteger="1" minValue="1901521" maxValue="1926562"/>
    </cacheField>
    <cacheField name="CLIENTE" numFmtId="0">
      <sharedItems/>
    </cacheField>
    <cacheField name="CONTATOS" numFmtId="0">
      <sharedItems containsMixedTypes="1" containsNumber="1" containsInteger="1" minValue="1691784030" maxValue="169888679163"/>
    </cacheField>
    <cacheField name="PRODUTO" numFmtId="0">
      <sharedItems containsBlank="1"/>
    </cacheField>
    <cacheField name="Nº LAUDOS" numFmtId="0">
      <sharedItems containsBlank="1" containsMixedTypes="1" containsNumber="1" containsInteger="1" minValue="1" maxValue="4"/>
    </cacheField>
    <cacheField name="DATA DO CONTATO" numFmtId="0">
      <sharedItems containsDate="1" containsBlank="1" containsMixedTypes="1" minDate="2026-03-03T00:00:00" maxDate="2026-06-28T00:00:00"/>
    </cacheField>
    <cacheField name="DATA DA VISTORIA" numFmtId="0">
      <sharedItems containsDate="1" containsBlank="1" containsMixedTypes="1" minDate="2026-03-04T00:00:00" maxDate="2026-05-01T00:00:00"/>
    </cacheField>
    <cacheField name="HORA" numFmtId="0">
      <sharedItems containsDate="1" containsBlank="1" containsMixedTypes="1" minDate="1899-12-30T10:30:00" maxDate="1899-12-30T10:30:00"/>
    </cacheField>
    <cacheField name="DATA DE ENVIO LAUDO" numFmtId="0">
      <sharedItems containsDate="1" containsBlank="1" containsMixedTypes="1" minDate="2026-03-04T00:00:00" maxDate="2026-04-28T00:00:00"/>
    </cacheField>
    <cacheField name="STATUS" numFmtId="0">
      <sharedItems count="7">
        <s v="AGENDAR VISTORIA"/>
        <s v="VISTORIA AGENDADA"/>
        <s v="AGUARDANDO LAUDO"/>
        <s v="ENVIAR LAUDO"/>
        <s v="INSUCESSO"/>
        <s v="NÃO LOCALIZADO LAUDO"/>
        <s v="SUCESSO"/>
      </sharedItems>
    </cacheField>
    <cacheField name="POSSUI DANO ELÉTRICO" numFmtId="0">
      <sharedItems containsBlank="1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n v="1925266"/>
    <s v="NIRA RODRIGUES DOS SANTOS"/>
    <s v="19 999229327"/>
    <m/>
    <n v="1"/>
    <m/>
    <m/>
    <m/>
    <m/>
    <x v="0"/>
    <m/>
    <m/>
  </r>
  <r>
    <x v="0"/>
    <x v="0"/>
    <n v="1925261"/>
    <s v="ANDREIA GOLFFETTE "/>
    <n v="169888679163"/>
    <m/>
    <n v="1"/>
    <m/>
    <m/>
    <m/>
    <m/>
    <x v="0"/>
    <m/>
    <m/>
  </r>
  <r>
    <x v="0"/>
    <x v="0"/>
    <n v="1924960"/>
    <s v="JOSE ANGELO DE BRITO"/>
    <s v="18 996735129"/>
    <m/>
    <n v="1"/>
    <m/>
    <m/>
    <m/>
    <m/>
    <x v="0"/>
    <m/>
    <m/>
  </r>
  <r>
    <x v="1"/>
    <x v="1"/>
    <n v="1925613"/>
    <s v="JOAO VITOR FERREIRA"/>
    <n v="44999001641"/>
    <s v="REFRIGERADOR"/>
    <n v="1"/>
    <m/>
    <m/>
    <m/>
    <m/>
    <x v="0"/>
    <m/>
    <m/>
  </r>
  <r>
    <x v="1"/>
    <x v="1"/>
    <n v="1925619"/>
    <s v="KELY DAIANE SATURNO"/>
    <n v="48996289462"/>
    <s v="PC"/>
    <n v="1"/>
    <m/>
    <m/>
    <m/>
    <m/>
    <x v="0"/>
    <m/>
    <m/>
  </r>
  <r>
    <x v="1"/>
    <x v="1"/>
    <n v="1925708"/>
    <s v="MARCIA LUIZA DA ROCHA"/>
    <n v="42998439188"/>
    <s v="LAVADORA - MICROONDAS"/>
    <n v="2"/>
    <d v="2026-04-27T00:00:00"/>
    <d v="2026-04-27T00:00:00"/>
    <s v="19h00"/>
    <m/>
    <x v="1"/>
    <m/>
    <m/>
  </r>
  <r>
    <x v="1"/>
    <x v="1"/>
    <n v="1925711"/>
    <s v="NADIR IBES DOS SANTOS"/>
    <n v="49989099386"/>
    <s v="TELEVISOR"/>
    <n v="1"/>
    <m/>
    <m/>
    <m/>
    <m/>
    <x v="0"/>
    <m/>
    <m/>
  </r>
  <r>
    <x v="1"/>
    <x v="1"/>
    <n v="1925715"/>
    <s v="LEANDRO PRUDENCIANO FELIPE"/>
    <n v="34999961816"/>
    <m/>
    <n v="1"/>
    <m/>
    <m/>
    <m/>
    <m/>
    <x v="0"/>
    <m/>
    <m/>
  </r>
  <r>
    <x v="1"/>
    <x v="1"/>
    <n v="1925718"/>
    <s v="RONALDO AUGUSTO DA SILVA"/>
    <n v="19981631602"/>
    <s v="TELEVISOR"/>
    <n v="1"/>
    <m/>
    <m/>
    <m/>
    <m/>
    <x v="0"/>
    <m/>
    <m/>
  </r>
  <r>
    <x v="1"/>
    <x v="1"/>
    <n v="1925719"/>
    <s v="LUCIO LUIZ DOS SANTOS PEREIRA JUNIOR"/>
    <n v="81973321582"/>
    <s v="TELEVISOR"/>
    <n v="1"/>
    <m/>
    <m/>
    <m/>
    <m/>
    <x v="0"/>
    <m/>
    <m/>
  </r>
  <r>
    <x v="1"/>
    <x v="1"/>
    <n v="1925723"/>
    <s v="RODRIGO EVARISTO DIAS DE SOUZA"/>
    <n v="24998469407"/>
    <s v="TELEVISOR"/>
    <n v="1"/>
    <m/>
    <m/>
    <m/>
    <m/>
    <x v="0"/>
    <m/>
    <m/>
  </r>
  <r>
    <x v="2"/>
    <x v="2"/>
    <n v="1926562"/>
    <s v="ADRIANO KLOPPEL"/>
    <n v="48999586777"/>
    <s v="TELEVISOR"/>
    <n v="1"/>
    <m/>
    <m/>
    <m/>
    <m/>
    <x v="0"/>
    <m/>
    <m/>
  </r>
  <r>
    <x v="2"/>
    <x v="2"/>
    <n v="1926499"/>
    <s v="RICARDO PADILHA SALDANHA"/>
    <s v="16994582511 - 16991249626"/>
    <s v="TELEVISOR"/>
    <n v="1"/>
    <m/>
    <m/>
    <m/>
    <m/>
    <x v="0"/>
    <m/>
    <m/>
  </r>
  <r>
    <x v="2"/>
    <x v="2"/>
    <n v="1926498"/>
    <s v="MAURICIO DE OLIVEIRA"/>
    <n v="14991097652"/>
    <m/>
    <n v="1"/>
    <m/>
    <m/>
    <m/>
    <m/>
    <x v="0"/>
    <m/>
    <m/>
  </r>
  <r>
    <x v="2"/>
    <x v="2"/>
    <n v="1926335"/>
    <s v="ADIGESSE MARINHO DA SILVA"/>
    <s v="19992979975 -19993677251"/>
    <s v="REFRIGERADOR"/>
    <n v="1"/>
    <m/>
    <m/>
    <m/>
    <m/>
    <x v="0"/>
    <m/>
    <m/>
  </r>
  <r>
    <x v="2"/>
    <x v="2"/>
    <n v="1926322"/>
    <s v="DAIANE PATRICIA FERREIRA DA COSTA"/>
    <n v="33999268070"/>
    <s v="TELEVISOR"/>
    <n v="1"/>
    <m/>
    <m/>
    <m/>
    <m/>
    <x v="0"/>
    <m/>
    <m/>
  </r>
  <r>
    <x v="2"/>
    <x v="2"/>
    <n v="1926321"/>
    <s v="VANESSA MATIAS"/>
    <n v="18996172880"/>
    <s v="TELEVISOR"/>
    <n v="1"/>
    <m/>
    <m/>
    <m/>
    <m/>
    <x v="0"/>
    <m/>
    <m/>
  </r>
  <r>
    <x v="2"/>
    <x v="2"/>
    <n v="1926182"/>
    <s v="JOSE LEONCIO DA SILVA"/>
    <n v="21994922114"/>
    <s v="TELEVISOR"/>
    <n v="1"/>
    <m/>
    <m/>
    <m/>
    <m/>
    <x v="0"/>
    <m/>
    <m/>
  </r>
  <r>
    <x v="2"/>
    <x v="2"/>
    <n v="1926108"/>
    <s v="FABIO DE MATOS CAVALCANTE"/>
    <n v="61993982324"/>
    <s v="TELEVISOR"/>
    <n v="1"/>
    <d v="2026-04-27T00:00:00"/>
    <d v="2026-04-27T00:00:00"/>
    <s v="17h00"/>
    <m/>
    <x v="2"/>
    <m/>
    <m/>
  </r>
  <r>
    <x v="2"/>
    <x v="2"/>
    <n v="1926100"/>
    <s v="PAMELA DE FREITAS PALOMARE DOS SANTOS"/>
    <n v="43996566024"/>
    <s v="LAVADORA"/>
    <n v="1"/>
    <m/>
    <m/>
    <m/>
    <m/>
    <x v="0"/>
    <m/>
    <m/>
  </r>
  <r>
    <x v="3"/>
    <x v="3"/>
    <n v="1922607"/>
    <s v="LUIZ CARLOS GERACE"/>
    <s v=" 16 997250977"/>
    <s v="REFRIGERADOR"/>
    <n v="1"/>
    <d v="2026-04-20T00:00:00"/>
    <d v="2026-04-20T00:00:00"/>
    <s v="17h30"/>
    <m/>
    <x v="2"/>
    <m/>
    <m/>
  </r>
  <r>
    <x v="4"/>
    <x v="4"/>
    <n v="1923162"/>
    <s v="ROSANGELA DAS GRACAS SOARES DE LIMA"/>
    <n v="18991214282"/>
    <s v="TELEVISOR - PC"/>
    <n v="2"/>
    <d v="2026-04-16T00:00:00"/>
    <d v="2026-04-24T00:00:00"/>
    <s v="15h00"/>
    <m/>
    <x v="2"/>
    <m/>
    <s v="Tel so Chama - Enviei mensagem via WhatsApp"/>
  </r>
  <r>
    <x v="0"/>
    <x v="0"/>
    <n v="1924958"/>
    <s v="JUDIVAN ALVES DOS SANTO"/>
    <s v=" 18 997537877"/>
    <m/>
    <n v="1"/>
    <d v="2026-04-23T00:00:00"/>
    <d v="2026-04-24T00:00:00"/>
    <s v="19h00"/>
    <m/>
    <x v="2"/>
    <m/>
    <m/>
  </r>
  <r>
    <x v="5"/>
    <x v="5"/>
    <n v="1924525"/>
    <s v="APARECIDO DOS SANTOS SOUZA"/>
    <s v="16 991280463"/>
    <s v="REFRIGERADOR"/>
    <n v="1"/>
    <d v="2026-04-23T00:00:00"/>
    <d v="2026-04-24T00:00:00"/>
    <s v="11H00"/>
    <m/>
    <x v="3"/>
    <m/>
    <m/>
  </r>
  <r>
    <x v="6"/>
    <x v="6"/>
    <n v="1906858"/>
    <s v="ERICA PAULA GIMENES TIMOTES"/>
    <n v="14991927678"/>
    <s v="-"/>
    <n v="1"/>
    <s v="-"/>
    <s v="-"/>
    <s v="-"/>
    <d v="2026-03-15T00:00:00"/>
    <x v="4"/>
    <s v="-"/>
    <s v="-"/>
  </r>
  <r>
    <x v="6"/>
    <x v="6"/>
    <n v="1906908"/>
    <s v="ALICE DUARTE CEZARIO"/>
    <n v="51981018294"/>
    <s v="-"/>
    <n v="1"/>
    <s v="-"/>
    <s v="-"/>
    <s v="-"/>
    <d v="2026-03-15T00:00:00"/>
    <x v="4"/>
    <s v="-"/>
    <s v="-"/>
  </r>
  <r>
    <x v="7"/>
    <x v="7"/>
    <n v="1907530"/>
    <s v="SOELI PAGEL"/>
    <n v="11984768787"/>
    <m/>
    <m/>
    <m/>
    <m/>
    <m/>
    <d v="2026-03-24T00:00:00"/>
    <x v="4"/>
    <m/>
    <m/>
  </r>
  <r>
    <x v="8"/>
    <x v="8"/>
    <n v="1907427"/>
    <s v="ANGELITA GIANE TARREGA"/>
    <n v="18991277896"/>
    <s v="-"/>
    <n v="1"/>
    <s v="-"/>
    <s v="-"/>
    <s v="-"/>
    <d v="2026-03-14T00:00:00"/>
    <x v="4"/>
    <s v="-"/>
    <s v="-"/>
  </r>
  <r>
    <x v="8"/>
    <x v="8"/>
    <n v="1907674"/>
    <s v="THAMIRES MARINS "/>
    <n v="11988956888"/>
    <s v="-"/>
    <n v="1"/>
    <s v="-"/>
    <s v="-"/>
    <s v="-"/>
    <d v="2026-03-15T00:00:00"/>
    <x v="4"/>
    <s v="-"/>
    <s v="-"/>
  </r>
  <r>
    <x v="8"/>
    <x v="8"/>
    <n v="1907438"/>
    <s v="EMERSON PEREIRA"/>
    <n v="16999986947"/>
    <s v="-"/>
    <s v="-"/>
    <s v="-"/>
    <s v="-"/>
    <s v="-"/>
    <d v="2026-03-24T00:00:00"/>
    <x v="4"/>
    <s v="-"/>
    <s v="-"/>
  </r>
  <r>
    <x v="9"/>
    <x v="9"/>
    <n v="1908403"/>
    <s v="AFONSO GONCALVES DE OLIVEIRA"/>
    <n v="18991516667"/>
    <s v="-"/>
    <n v="1"/>
    <s v="-"/>
    <s v="-"/>
    <s v="-"/>
    <d v="2026-03-14T00:00:00"/>
    <x v="4"/>
    <s v="-"/>
    <s v="-"/>
  </r>
  <r>
    <x v="10"/>
    <x v="10"/>
    <n v="1908831"/>
    <s v="SONIA DA SILVA ALCARAZ"/>
    <n v="44998364436"/>
    <s v="-"/>
    <n v="1"/>
    <s v="-"/>
    <s v="-"/>
    <s v="-"/>
    <d v="2026-03-31T00:00:00"/>
    <x v="4"/>
    <s v="-"/>
    <s v="-"/>
  </r>
  <r>
    <x v="10"/>
    <x v="10"/>
    <n v="1908909"/>
    <s v="JUSSARA AIRES VAZ"/>
    <n v="49991814188"/>
    <s v="-"/>
    <n v="1"/>
    <s v="-"/>
    <s v="-"/>
    <s v="-"/>
    <d v="2026-03-14T00:00:00"/>
    <x v="4"/>
    <s v="-"/>
    <s v="-"/>
  </r>
  <r>
    <x v="10"/>
    <x v="10"/>
    <n v="1908922"/>
    <s v="ELIANE MONTAGNA"/>
    <n v="66999114503"/>
    <s v="-"/>
    <n v="1"/>
    <s v="-"/>
    <s v="-"/>
    <s v="-"/>
    <d v="2026-03-14T00:00:00"/>
    <x v="4"/>
    <s v="-"/>
    <s v="-"/>
  </r>
  <r>
    <x v="10"/>
    <x v="10"/>
    <n v="1909022"/>
    <s v="EMILLY EDUARDA DE CASTRO"/>
    <n v="51996109432"/>
    <s v="-"/>
    <n v="1"/>
    <s v="-"/>
    <s v="-"/>
    <s v="-"/>
    <d v="2026-03-14T00:00:00"/>
    <x v="4"/>
    <s v="-"/>
    <s v="-"/>
  </r>
  <r>
    <x v="11"/>
    <x v="11"/>
    <n v="1909274"/>
    <s v="JAIR ALVES DOS REIS  "/>
    <n v="16999686015"/>
    <s v="-"/>
    <n v="1"/>
    <s v="-"/>
    <s v="-"/>
    <s v="-"/>
    <d v="2026-03-14T00:00:00"/>
    <x v="4"/>
    <s v="-"/>
    <s v="-"/>
  </r>
  <r>
    <x v="11"/>
    <x v="11"/>
    <n v="1909483"/>
    <s v="SONIA CARDOSO JOAO "/>
    <n v="88996339916"/>
    <s v="-"/>
    <n v="1"/>
    <s v="-"/>
    <s v="-"/>
    <s v="-"/>
    <d v="2026-03-15T00:00:00"/>
    <x v="4"/>
    <s v="-"/>
    <s v="-"/>
  </r>
  <r>
    <x v="11"/>
    <x v="11"/>
    <n v="1909473"/>
    <s v="NILDO KOCHEMBORGER "/>
    <n v="54999768170"/>
    <m/>
    <n v="1"/>
    <m/>
    <m/>
    <m/>
    <d v="2026-03-14T00:00:00"/>
    <x v="4"/>
    <m/>
    <s v="TELE-VISTORIA AGENDADA PARA 20/03/2026"/>
  </r>
  <r>
    <x v="12"/>
    <x v="12"/>
    <n v="1909797"/>
    <s v="FERNANDA CAROLINE CHAGAS TOSCANO"/>
    <n v="11984768787"/>
    <s v="-"/>
    <n v="1"/>
    <s v="-"/>
    <s v="-"/>
    <s v="-"/>
    <d v="2026-03-23T00:00:00"/>
    <x v="4"/>
    <s v="-"/>
    <s v="-"/>
  </r>
  <r>
    <x v="13"/>
    <x v="13"/>
    <n v="1910577"/>
    <s v="MARLENE PEREZ"/>
    <n v="45999694041"/>
    <s v="-"/>
    <n v="1"/>
    <s v="-"/>
    <s v="-"/>
    <s v="-"/>
    <d v="2026-03-23T00:00:00"/>
    <x v="4"/>
    <s v="-"/>
    <s v="-"/>
  </r>
  <r>
    <x v="13"/>
    <x v="13"/>
    <n v="1910672"/>
    <s v="ROSILEIA APARECIDA GEREMIAS FRETTA "/>
    <n v="11984768797"/>
    <s v="-"/>
    <n v="1"/>
    <s v="-"/>
    <s v="-"/>
    <s v="-"/>
    <d v="2026-03-24T00:00:00"/>
    <x v="4"/>
    <s v="-"/>
    <s v="-"/>
  </r>
  <r>
    <x v="13"/>
    <x v="13"/>
    <n v="1910673"/>
    <s v="JULIANA FERREIRA RIBEIRO ARANT"/>
    <n v="34997730116"/>
    <s v="-"/>
    <n v="1"/>
    <s v="-"/>
    <s v="-"/>
    <s v="-"/>
    <d v="2026-03-23T00:00:00"/>
    <x v="4"/>
    <s v="-"/>
    <s v="-"/>
  </r>
  <r>
    <x v="13"/>
    <x v="13"/>
    <n v="1910733"/>
    <s v="CINARA MACHADO SILVA DE OLIVEI "/>
    <n v="64993413489"/>
    <s v="-"/>
    <n v="1"/>
    <s v="-"/>
    <s v="-"/>
    <s v="-"/>
    <d v="2026-03-17T00:00:00"/>
    <x v="4"/>
    <s v="-"/>
    <s v="-"/>
  </r>
  <r>
    <x v="13"/>
    <x v="13"/>
    <n v="1910734"/>
    <s v="GIOVANNA ALMEIDA DE JESUS"/>
    <n v="11976763504"/>
    <s v="-"/>
    <n v="1"/>
    <s v="-"/>
    <s v="-"/>
    <s v="-"/>
    <d v="2026-03-20T00:00:00"/>
    <x v="4"/>
    <s v="-"/>
    <s v="-"/>
  </r>
  <r>
    <x v="14"/>
    <x v="14"/>
    <n v="1904792"/>
    <s v="ROBERTO APARECIDO GARCIA"/>
    <n v="4599355548"/>
    <s v="-"/>
    <n v="1"/>
    <s v="-"/>
    <s v="-"/>
    <s v="-"/>
    <d v="2026-03-15T00:00:00"/>
    <x v="4"/>
    <s v="-"/>
    <s v="-"/>
  </r>
  <r>
    <x v="14"/>
    <x v="14"/>
    <n v="1904964"/>
    <s v="DEISE ESPINDOLA DA SILVEIRA"/>
    <n v="48991414903"/>
    <s v="-"/>
    <n v="1"/>
    <s v="-"/>
    <s v="-"/>
    <s v="-"/>
    <d v="2026-03-17T00:00:00"/>
    <x v="4"/>
    <s v="-"/>
    <s v="-"/>
  </r>
  <r>
    <x v="14"/>
    <x v="14"/>
    <n v="1910907"/>
    <s v="VERA LUCIA SOARES "/>
    <n v="19935930106"/>
    <s v="-"/>
    <n v="1"/>
    <s v="-"/>
    <s v="-"/>
    <s v="-"/>
    <d v="2026-04-07T00:00:00"/>
    <x v="4"/>
    <s v="-"/>
    <s v="-"/>
  </r>
  <r>
    <x v="14"/>
    <x v="14"/>
    <n v="1911052"/>
    <s v="ROSIVANIA APARECIDA BONETTI"/>
    <n v="48998430841"/>
    <s v="-"/>
    <n v="1"/>
    <s v="-"/>
    <s v="-"/>
    <s v="-"/>
    <d v="2026-03-23T00:00:00"/>
    <x v="4"/>
    <s v="-"/>
    <s v="-"/>
  </r>
  <r>
    <x v="14"/>
    <x v="14"/>
    <n v="1911127"/>
    <s v="TATIANE CAMBAROTTO"/>
    <n v="43984172996"/>
    <s v="-"/>
    <n v="1"/>
    <s v="-"/>
    <s v="-"/>
    <s v="-"/>
    <d v="2026-04-20T00:00:00"/>
    <x v="4"/>
    <s v="-"/>
    <s v="-"/>
  </r>
  <r>
    <x v="15"/>
    <x v="15"/>
    <n v="1911236"/>
    <s v="DALVA DE JESUS MONTEIRO GOMES"/>
    <n v="16991741533"/>
    <s v="-"/>
    <n v="1"/>
    <s v="-"/>
    <s v="-"/>
    <s v="-"/>
    <d v="2026-03-19T00:00:00"/>
    <x v="4"/>
    <s v="-"/>
    <s v="-"/>
  </r>
  <r>
    <x v="15"/>
    <x v="15"/>
    <n v="1911239"/>
    <s v="FLAVIO LOURENCO DE OLIVEIRA"/>
    <n v="12993763528"/>
    <s v="-"/>
    <n v="1"/>
    <s v="-"/>
    <s v="-"/>
    <s v="-"/>
    <d v="2026-03-23T00:00:00"/>
    <x v="4"/>
    <s v="-"/>
    <s v="-"/>
  </r>
  <r>
    <x v="15"/>
    <x v="15"/>
    <n v="1911375"/>
    <s v="LEOMAR DE SOUZA RODOVALHO"/>
    <n v="34996812743"/>
    <s v="-"/>
    <n v="1"/>
    <s v="-"/>
    <s v="-"/>
    <s v="-"/>
    <d v="2026-03-24T00:00:00"/>
    <x v="4"/>
    <s v="-"/>
    <s v="-"/>
  </r>
  <r>
    <x v="15"/>
    <x v="15"/>
    <n v="1911451"/>
    <s v="FAGNER BERNARDES DA SILVA"/>
    <n v="67999102319"/>
    <s v="-"/>
    <n v="1"/>
    <s v="-"/>
    <s v="-"/>
    <s v="-"/>
    <d v="2026-03-23T00:00:00"/>
    <x v="4"/>
    <s v="-"/>
    <s v="-"/>
  </r>
  <r>
    <x v="16"/>
    <x v="16"/>
    <n v="1919676"/>
    <s v="MARIA A OLIVEIRA CRISOSTOMO"/>
    <n v="16993554596"/>
    <s v="-"/>
    <n v="1"/>
    <s v="-"/>
    <s v="-"/>
    <s v="-"/>
    <d v="2026-04-10T00:00:00"/>
    <x v="4"/>
    <s v="-"/>
    <s v="-"/>
  </r>
  <r>
    <x v="16"/>
    <x v="16"/>
    <n v="1919667"/>
    <s v="ZENIR MARGARET DE SOUZA COELHO"/>
    <s v=" 48 999527342"/>
    <s v="-"/>
    <n v="1"/>
    <s v="-"/>
    <s v="-"/>
    <s v="-"/>
    <d v="2026-04-15T00:00:00"/>
    <x v="4"/>
    <s v="-"/>
    <s v="-"/>
  </r>
  <r>
    <x v="17"/>
    <x v="17"/>
    <n v="1919818"/>
    <s v="ANDERSON FERREIRA BENFICA"/>
    <n v="19994140280"/>
    <s v="-"/>
    <n v="1"/>
    <s v="-"/>
    <s v="-"/>
    <s v="-"/>
    <d v="2026-04-10T00:00:00"/>
    <x v="4"/>
    <s v="-"/>
    <s v="-"/>
  </r>
  <r>
    <x v="18"/>
    <x v="18"/>
    <n v="1920364"/>
    <s v="ANTONIO JACIBIO FACHO NETO"/>
    <s v="16 994093448"/>
    <s v="-"/>
    <n v="1"/>
    <s v="-"/>
    <s v="-"/>
    <s v="-"/>
    <d v="2026-04-10T00:00:00"/>
    <x v="4"/>
    <s v="-"/>
    <s v="-"/>
  </r>
  <r>
    <x v="18"/>
    <x v="18"/>
    <n v="1920463"/>
    <s v="ADELMO ALFREDO MALLMANN"/>
    <s v="48 999739060"/>
    <s v="-"/>
    <n v="1"/>
    <s v="-"/>
    <s v="-"/>
    <s v="-"/>
    <d v="2026-04-10T00:00:00"/>
    <x v="4"/>
    <s v="-"/>
    <s v="-"/>
  </r>
  <r>
    <x v="18"/>
    <x v="18"/>
    <n v="1920461"/>
    <s v="MANOEL RIBEIRO"/>
    <n v="48996668456"/>
    <s v="-"/>
    <n v="1"/>
    <s v="-"/>
    <s v="-"/>
    <s v="-"/>
    <d v="2026-04-16T00:00:00"/>
    <x v="4"/>
    <s v="-"/>
    <s v="-"/>
  </r>
  <r>
    <x v="19"/>
    <x v="19"/>
    <n v="1920871"/>
    <s v="ZILDA REIS "/>
    <n v="47996303787"/>
    <s v="-"/>
    <n v="1"/>
    <s v="-"/>
    <s v="-"/>
    <s v="-"/>
    <d v="2026-04-20T00:00:00"/>
    <x v="4"/>
    <s v="-"/>
    <s v="-"/>
  </r>
  <r>
    <x v="19"/>
    <x v="19"/>
    <n v="1920589"/>
    <s v="MARIA APARECIDA FELIX VIEIRA"/>
    <s v="34 999972134"/>
    <s v="-"/>
    <n v="1"/>
    <s v="-"/>
    <s v="-"/>
    <s v="-"/>
    <d v="2026-04-10T00:00:00"/>
    <x v="4"/>
    <s v="-"/>
    <s v="-"/>
  </r>
  <r>
    <x v="19"/>
    <x v="19"/>
    <n v="1920949"/>
    <s v="Luis Fernando Soderi Borella"/>
    <s v="19 999911888"/>
    <s v="-"/>
    <n v="1"/>
    <s v="-"/>
    <s v="-"/>
    <s v="-"/>
    <d v="2026-04-10T00:00:00"/>
    <x v="4"/>
    <s v="-"/>
    <s v="-"/>
  </r>
  <r>
    <x v="19"/>
    <x v="19"/>
    <n v="1920950"/>
    <s v="FABIANA BEZERRA TAVEIRA"/>
    <s v="12 997773077"/>
    <s v="-"/>
    <n v="1"/>
    <s v="-"/>
    <s v="-"/>
    <s v="-"/>
    <d v="2026-04-10T00:00:00"/>
    <x v="4"/>
    <s v="-"/>
    <s v="-"/>
  </r>
  <r>
    <x v="19"/>
    <x v="19"/>
    <n v="1920873"/>
    <s v="NELSON ROGERIO DE SOUZA"/>
    <s v="62 992565141 / 62 999688107 "/>
    <s v="-"/>
    <n v="1"/>
    <s v="-"/>
    <s v="-"/>
    <s v="-"/>
    <d v="2026-04-20T00:00:00"/>
    <x v="4"/>
    <s v="-"/>
    <s v="-"/>
  </r>
  <r>
    <x v="20"/>
    <x v="20"/>
    <n v="1921264"/>
    <s v="MARIA JOSE DE MISSINA"/>
    <s v="16 997548634"/>
    <s v="-"/>
    <n v="1"/>
    <s v="-"/>
    <s v="-"/>
    <s v="-"/>
    <d v="2026-04-16T00:00:00"/>
    <x v="4"/>
    <s v="-"/>
    <s v="-"/>
  </r>
  <r>
    <x v="21"/>
    <x v="21"/>
    <n v="1921997"/>
    <s v=" MIGUEL PINHEIRO DA SILVA FILHO"/>
    <s v="45 984031456"/>
    <s v="-"/>
    <n v="1"/>
    <s v="-"/>
    <s v="-"/>
    <s v="-"/>
    <d v="2026-04-17T00:00:00"/>
    <x v="4"/>
    <s v="-"/>
    <s v="-"/>
  </r>
  <r>
    <x v="21"/>
    <x v="21"/>
    <n v="1922201"/>
    <s v=" ELSON FERREIRA NUNES"/>
    <s v="16 999219680"/>
    <s v="-"/>
    <n v="1"/>
    <s v="-"/>
    <s v="-"/>
    <s v="-"/>
    <d v="2026-04-17T00:00:00"/>
    <x v="4"/>
    <s v="-"/>
    <s v="-"/>
  </r>
  <r>
    <x v="21"/>
    <x v="21"/>
    <n v="1922050"/>
    <s v="MARIA ELIANE NUNES PACHECO "/>
    <s v="48 99686-9036"/>
    <s v="-"/>
    <n v="1"/>
    <s v="-"/>
    <s v="-"/>
    <s v="-"/>
    <d v="2026-04-17T00:00:00"/>
    <x v="4"/>
    <s v="-"/>
    <s v="-"/>
  </r>
  <r>
    <x v="3"/>
    <x v="3"/>
    <n v="1922675"/>
    <s v="IRMA PINHEIRO ABELLINI "/>
    <s v="19 992193293"/>
    <m/>
    <n v="1"/>
    <m/>
    <m/>
    <m/>
    <d v="2026-04-22T00:00:00"/>
    <x v="4"/>
    <m/>
    <s v="Tel só Chama"/>
  </r>
  <r>
    <x v="3"/>
    <x v="3"/>
    <n v="1922657"/>
    <s v="CLAUDEMIR DALECIO"/>
    <s v="16 99606-2023"/>
    <s v="-"/>
    <n v="1"/>
    <s v="-"/>
    <s v="-"/>
    <s v="-"/>
    <d v="2026-04-20T00:00:00"/>
    <x v="4"/>
    <s v="-"/>
    <s v="-"/>
  </r>
  <r>
    <x v="3"/>
    <x v="3"/>
    <n v="1922679"/>
    <s v="EGIDIO PEREIRA SILVA"/>
    <s v=" 16 997168870 "/>
    <s v="-"/>
    <n v="1"/>
    <s v="-"/>
    <s v="-"/>
    <s v="-"/>
    <d v="2026-04-20T00:00:00"/>
    <x v="4"/>
    <s v="-"/>
    <s v="-"/>
  </r>
  <r>
    <x v="3"/>
    <x v="3"/>
    <n v="1922745"/>
    <s v="ANA LUISA VALADAO VIEIRA GONCALVES "/>
    <n v="32998043438"/>
    <s v="-"/>
    <n v="1"/>
    <s v="-"/>
    <s v="-"/>
    <s v="-"/>
    <d v="2026-04-20T00:00:00"/>
    <x v="4"/>
    <s v="-"/>
    <s v="-"/>
  </r>
  <r>
    <x v="4"/>
    <x v="4"/>
    <n v="1923078"/>
    <s v="ELIANA FAGUNDES DOS SANTOS"/>
    <n v="38998580867"/>
    <m/>
    <n v="1"/>
    <d v="2026-04-16T00:00:00"/>
    <m/>
    <m/>
    <d v="2026-04-22T00:00:00"/>
    <x v="4"/>
    <m/>
    <s v="Tel so Chama - Enviei mensagem via WhatsApp"/>
  </r>
  <r>
    <x v="4"/>
    <x v="4"/>
    <n v="1923361"/>
    <s v="REINALDO LUIS TIMOTEO"/>
    <n v="16988544088"/>
    <m/>
    <n v="1"/>
    <d v="2026-04-27T00:00:00"/>
    <d v="2026-04-27T00:00:00"/>
    <s v="17h30"/>
    <d v="2026-04-20T00:00:00"/>
    <x v="2"/>
    <s v="-"/>
    <s v="-"/>
  </r>
  <r>
    <x v="4"/>
    <x v="4"/>
    <n v="1923085"/>
    <s v="JOSE CARLOS MENDES"/>
    <n v="19991972501"/>
    <s v="-"/>
    <n v="1"/>
    <s v="-"/>
    <s v="-"/>
    <s v="-"/>
    <d v="2026-04-20T00:00:00"/>
    <x v="4"/>
    <s v="-"/>
    <s v="-"/>
  </r>
  <r>
    <x v="22"/>
    <x v="22"/>
    <n v="1923598"/>
    <s v="UNIVERSINO ANTUNES DA SILVA"/>
    <n v="49988410415"/>
    <m/>
    <n v="1"/>
    <m/>
    <m/>
    <m/>
    <d v="2026-04-22T00:00:00"/>
    <x v="4"/>
    <m/>
    <s v="Tel so Chama - Enviei mensagem via WhatsApp"/>
  </r>
  <r>
    <x v="23"/>
    <x v="23"/>
    <n v="1924021"/>
    <s v="TIAGO DE SOUSA MENDONCA"/>
    <s v="85 988995881"/>
    <m/>
    <n v="1"/>
    <m/>
    <m/>
    <m/>
    <d v="2026-04-23T00:00:00"/>
    <x v="4"/>
    <m/>
    <s v="Numero não Existe - Não possui WhatsApp"/>
  </r>
  <r>
    <x v="23"/>
    <x v="23"/>
    <n v="1924281"/>
    <s v="ANSELMO DE OLIVEIRA DOS SANTOS"/>
    <s v="54 999971786"/>
    <m/>
    <n v="1"/>
    <m/>
    <m/>
    <m/>
    <d v="2026-04-23T00:00:00"/>
    <x v="4"/>
    <m/>
    <s v="Tel so Chama - Enviei mensagem via WhatsApp"/>
  </r>
  <r>
    <x v="5"/>
    <x v="5"/>
    <n v="1924623"/>
    <s v="JULIO LUIS TORRES PIRES"/>
    <s v="53 991517450"/>
    <m/>
    <n v="1"/>
    <m/>
    <m/>
    <m/>
    <d v="2026-04-23T00:00:00"/>
    <x v="4"/>
    <m/>
    <m/>
  </r>
  <r>
    <x v="5"/>
    <x v="5"/>
    <n v="1924552"/>
    <s v="ADAO ORLI ALVES TRINDADE"/>
    <n v="46999222750"/>
    <m/>
    <n v="1"/>
    <m/>
    <m/>
    <m/>
    <d v="2026-04-23T00:00:00"/>
    <x v="4"/>
    <m/>
    <m/>
  </r>
  <r>
    <x v="5"/>
    <x v="5"/>
    <n v="1924524"/>
    <s v="JUSSINALDO ESTEVAM SANTOS"/>
    <s v="19 984429071"/>
    <m/>
    <n v="1"/>
    <m/>
    <m/>
    <m/>
    <d v="2026-04-23T00:00:00"/>
    <x v="4"/>
    <m/>
    <s v="Tel não chama e não tem WhatsApp"/>
  </r>
  <r>
    <x v="8"/>
    <x v="8"/>
    <n v="1907133"/>
    <s v="KATLLEY LORRANY CARDOSO COELHO"/>
    <n v="94984387419"/>
    <s v="-"/>
    <s v="-"/>
    <s v="-"/>
    <s v="-"/>
    <s v="-"/>
    <s v="-"/>
    <x v="5"/>
    <s v="-"/>
    <s v="-"/>
  </r>
  <r>
    <x v="9"/>
    <x v="9"/>
    <n v="1908061"/>
    <s v="JOSE VALCIR GOMES DA SILVA"/>
    <n v="19988939116"/>
    <m/>
    <n v="1"/>
    <m/>
    <m/>
    <m/>
    <m/>
    <x v="5"/>
    <m/>
    <s v="SEGURADO NÃO CONSEGUE ACESSAR O LINK PARA REALIZAR A TELE-VISTORIA"/>
  </r>
  <r>
    <x v="10"/>
    <x v="10"/>
    <n v="1908918"/>
    <s v="MICHELE ELIZA FERREIRA SIMIÃO"/>
    <n v="17992080570"/>
    <m/>
    <n v="1"/>
    <m/>
    <m/>
    <m/>
    <m/>
    <x v="5"/>
    <m/>
    <s v="E-MAIL ENVIADO SEM O LAUDO EM ANEXO."/>
  </r>
  <r>
    <x v="12"/>
    <x v="12"/>
    <n v="1909964"/>
    <s v="ANTONIO DONIZETI CREPALDI"/>
    <n v="16991909407"/>
    <m/>
    <n v="1"/>
    <m/>
    <d v="2026-03-19T00:00:00"/>
    <s v="13H00"/>
    <m/>
    <x v="5"/>
    <m/>
    <m/>
  </r>
  <r>
    <x v="12"/>
    <x v="12"/>
    <n v="1910054"/>
    <s v="RACI MARIA DE ALMEIDA "/>
    <n v="44998463963"/>
    <m/>
    <n v="1"/>
    <m/>
    <d v="2026-03-18T00:00:00"/>
    <s v="15H30"/>
    <m/>
    <x v="5"/>
    <m/>
    <m/>
  </r>
  <r>
    <x v="12"/>
    <x v="12"/>
    <n v="1910056"/>
    <s v="RENATA LOBO SILVA"/>
    <n v="31971342766"/>
    <m/>
    <n v="1"/>
    <m/>
    <d v="2026-03-18T00:00:00"/>
    <s v="16H30"/>
    <m/>
    <x v="5"/>
    <m/>
    <m/>
  </r>
  <r>
    <x v="13"/>
    <x v="13"/>
    <n v="1901521"/>
    <s v="JOÃO VICTOR DE SOUSA BATISTA"/>
    <n v="91980580965"/>
    <s v="-"/>
    <s v="-"/>
    <s v="-"/>
    <s v="-"/>
    <s v="-"/>
    <s v="-"/>
    <x v="5"/>
    <s v="-"/>
    <s v="-"/>
  </r>
  <r>
    <x v="13"/>
    <x v="13"/>
    <n v="1910386"/>
    <s v="DAMIAO DOS ANJOS HONORIO"/>
    <n v="18991414754"/>
    <m/>
    <n v="1"/>
    <m/>
    <d v="2026-03-13T00:00:00"/>
    <s v="18H00"/>
    <m/>
    <x v="5"/>
    <m/>
    <m/>
  </r>
  <r>
    <x v="13"/>
    <x v="13"/>
    <n v="1910568"/>
    <s v=" NELY ALVES TAVEIRA RODRIGUES"/>
    <n v="16996421772"/>
    <m/>
    <n v="1"/>
    <m/>
    <m/>
    <m/>
    <m/>
    <x v="5"/>
    <m/>
    <m/>
  </r>
  <r>
    <x v="13"/>
    <x v="13"/>
    <n v="1910581"/>
    <s v="JULIO CESAR FERNANDES"/>
    <n v="18998047481"/>
    <s v="-"/>
    <s v="-"/>
    <s v="-"/>
    <s v="-"/>
    <s v="-"/>
    <m/>
    <x v="5"/>
    <s v="-"/>
    <s v="-"/>
  </r>
  <r>
    <x v="13"/>
    <x v="13"/>
    <n v="1910583"/>
    <s v="ANA CAROLLINA RODRIGUES RIBEIRO "/>
    <n v="64984346080"/>
    <s v="-"/>
    <s v="-"/>
    <s v="-"/>
    <s v="-"/>
    <s v="-"/>
    <s v="-"/>
    <x v="5"/>
    <s v="-"/>
    <s v="-"/>
  </r>
  <r>
    <x v="14"/>
    <x v="14"/>
    <n v="1910821"/>
    <s v="LILIANE DOS SANTOS LOIOLA"/>
    <n v="21970214450"/>
    <s v="-"/>
    <s v="-"/>
    <s v="-"/>
    <s v="-"/>
    <s v="-"/>
    <s v="-"/>
    <x v="5"/>
    <s v="-"/>
    <s v="-"/>
  </r>
  <r>
    <x v="14"/>
    <x v="14"/>
    <n v="1910973"/>
    <s v="RAFAEL PACIFICO JUNIOR"/>
    <n v="32991591441"/>
    <m/>
    <n v="1"/>
    <m/>
    <m/>
    <m/>
    <d v="2026-03-25T00:00:00"/>
    <x v="5"/>
    <m/>
    <m/>
  </r>
  <r>
    <x v="14"/>
    <x v="14"/>
    <n v="1910983"/>
    <s v="ERENILDE DAS NEVES MAGALHAES"/>
    <s v="16 98809-3880"/>
    <m/>
    <n v="1"/>
    <m/>
    <m/>
    <m/>
    <d v="2026-03-25T00:00:00"/>
    <x v="5"/>
    <m/>
    <m/>
  </r>
  <r>
    <x v="14"/>
    <x v="14"/>
    <n v="1911046"/>
    <s v="LOURDES IOLANDA SOTILLI"/>
    <n v="46999767751"/>
    <s v="-"/>
    <s v="-"/>
    <s v="-"/>
    <s v="-"/>
    <s v="-"/>
    <s v="-"/>
    <x v="5"/>
    <s v="-"/>
    <s v="-"/>
  </r>
  <r>
    <x v="15"/>
    <x v="15"/>
    <n v="1911377"/>
    <s v="FENELON VELOSO FERREIRA"/>
    <n v="11942704488"/>
    <m/>
    <n v="1"/>
    <m/>
    <d v="2026-03-16T00:00:00"/>
    <m/>
    <d v="2026-03-25T00:00:00"/>
    <x v="5"/>
    <m/>
    <m/>
  </r>
  <r>
    <x v="15"/>
    <x v="15"/>
    <n v="1911399"/>
    <s v="Adriana Joao Ramalho"/>
    <n v="19997220174"/>
    <m/>
    <n v="1"/>
    <m/>
    <d v="2026-03-16T00:00:00"/>
    <s v="13H15"/>
    <d v="2026-03-25T00:00:00"/>
    <x v="5"/>
    <m/>
    <m/>
  </r>
  <r>
    <x v="15"/>
    <x v="15"/>
    <n v="1911436"/>
    <s v="CLAUDIA ROBERTA VIEIRA DANTAS"/>
    <n v="83996757886"/>
    <m/>
    <n v="1"/>
    <m/>
    <m/>
    <m/>
    <d v="2026-03-25T00:00:00"/>
    <x v="5"/>
    <m/>
    <m/>
  </r>
  <r>
    <x v="15"/>
    <x v="15"/>
    <n v="1911442"/>
    <s v="EDELSON THEODORO"/>
    <n v="18981441516"/>
    <m/>
    <n v="1"/>
    <m/>
    <d v="2026-03-16T00:00:00"/>
    <s v="13H30"/>
    <d v="2026-03-25T00:00:00"/>
    <x v="5"/>
    <m/>
    <m/>
  </r>
  <r>
    <x v="15"/>
    <x v="15"/>
    <n v="1911584"/>
    <s v="LUZ MARINA DOS SANTOS MARISCAL"/>
    <n v="67996172860"/>
    <m/>
    <n v="1"/>
    <m/>
    <m/>
    <m/>
    <d v="2026-03-25T00:00:00"/>
    <x v="5"/>
    <m/>
    <m/>
  </r>
  <r>
    <x v="24"/>
    <x v="24"/>
    <n v="1911766"/>
    <s v="IZABEL CRISTINA LOPES DOS SANTOS"/>
    <n v="53991691682"/>
    <m/>
    <n v="1"/>
    <m/>
    <d v="2026-03-17T00:00:00"/>
    <s v="15h00"/>
    <d v="2026-03-26T00:00:00"/>
    <x v="5"/>
    <m/>
    <m/>
  </r>
  <r>
    <x v="24"/>
    <x v="24"/>
    <n v="1911776"/>
    <s v="VITALINA CAETANA FERREIRA SOUZA"/>
    <n v="62985653213"/>
    <m/>
    <n v="1"/>
    <m/>
    <d v="2026-03-18T00:00:00"/>
    <s v="10H00"/>
    <d v="2026-03-26T00:00:00"/>
    <x v="5"/>
    <m/>
    <m/>
  </r>
  <r>
    <x v="24"/>
    <x v="24"/>
    <n v="1911861"/>
    <s v="NEIVON VIEIRA DA SILVA"/>
    <n v="99999874885"/>
    <m/>
    <n v="1"/>
    <m/>
    <m/>
    <m/>
    <d v="2026-03-26T00:00:00"/>
    <x v="5"/>
    <m/>
    <m/>
  </r>
  <r>
    <x v="24"/>
    <x v="24"/>
    <n v="1911867"/>
    <s v="MARIA COSTA"/>
    <n v="11969471037"/>
    <m/>
    <n v="1"/>
    <m/>
    <d v="2026-03-20T00:00:00"/>
    <s v="10H00"/>
    <d v="2026-03-26T00:00:00"/>
    <x v="5"/>
    <m/>
    <m/>
  </r>
  <r>
    <x v="24"/>
    <x v="24"/>
    <n v="1911947"/>
    <s v="FERNANDO SILVA ANDRADE SOUZA"/>
    <n v="16991122354"/>
    <m/>
    <n v="1"/>
    <m/>
    <d v="2026-03-20T00:00:00"/>
    <s v="12H00"/>
    <d v="2026-03-26T00:00:00"/>
    <x v="5"/>
    <m/>
    <m/>
  </r>
  <r>
    <x v="24"/>
    <x v="24"/>
    <n v="1912004"/>
    <s v="JOSE CLAUDIO DOS SANTOS"/>
    <n v="18991002619"/>
    <m/>
    <n v="1"/>
    <m/>
    <d v="2026-03-19T00:00:00"/>
    <s v="09H30"/>
    <d v="2026-03-26T00:00:00"/>
    <x v="5"/>
    <m/>
    <m/>
  </r>
  <r>
    <x v="24"/>
    <x v="24"/>
    <n v="1912009"/>
    <s v="LUCAS WANDERLEY RAMOS DE OLIVEIRA"/>
    <n v="47996053319"/>
    <m/>
    <n v="1"/>
    <m/>
    <d v="2026-03-20T00:00:00"/>
    <s v="15h00"/>
    <d v="2026-03-26T00:00:00"/>
    <x v="5"/>
    <m/>
    <m/>
  </r>
  <r>
    <x v="24"/>
    <x v="24"/>
    <n v="1912014"/>
    <s v="MELISSA DA SILVEIRA DA SILVA"/>
    <n v="21992713817"/>
    <m/>
    <n v="1"/>
    <m/>
    <d v="2026-03-19T00:00:00"/>
    <s v="17h00"/>
    <d v="2026-03-26T00:00:00"/>
    <x v="5"/>
    <m/>
    <m/>
  </r>
  <r>
    <x v="6"/>
    <x v="6"/>
    <n v="1906783"/>
    <s v="JOAO PEREIRA DOS SANTOS"/>
    <n v="18996515053"/>
    <s v="LAVADORA"/>
    <n v="1"/>
    <d v="2026-03-03T00:00:00"/>
    <d v="2026-03-04T00:00:00"/>
    <s v="12H00"/>
    <d v="2026-03-04T00:00:00"/>
    <x v="6"/>
    <s v="SIM"/>
    <m/>
  </r>
  <r>
    <x v="6"/>
    <x v="6"/>
    <n v="1906790"/>
    <s v="DAIANE PADILHA MACHADO"/>
    <n v="48998101161"/>
    <s v="TELEVISOR "/>
    <n v="1"/>
    <d v="2026-03-05T00:00:00"/>
    <d v="2026-03-19T00:00:00"/>
    <s v="10H00"/>
    <d v="2026-03-19T00:00:00"/>
    <x v="6"/>
    <s v="SIM"/>
    <m/>
  </r>
  <r>
    <x v="6"/>
    <x v="6"/>
    <n v="1906804"/>
    <s v="EDNA MARTINS GUEDES"/>
    <n v="34999726199"/>
    <s v="TELEVISOR "/>
    <n v="1"/>
    <d v="2026-04-01T00:00:00"/>
    <d v="2026-03-04T00:00:00"/>
    <s v="16H40"/>
    <d v="2026-04-08T00:00:00"/>
    <x v="6"/>
    <s v="SIM"/>
    <m/>
  </r>
  <r>
    <x v="6"/>
    <x v="6"/>
    <n v="1906806"/>
    <s v="JANETE APARECIDA B BARBOSA "/>
    <n v="1691784030"/>
    <s v="TELEVISOR"/>
    <n v="1"/>
    <d v="2026-03-03T00:00:00"/>
    <d v="2026-03-16T00:00:00"/>
    <s v="12H00"/>
    <d v="2026-03-16T00:00:00"/>
    <x v="6"/>
    <s v="SIM"/>
    <m/>
  </r>
  <r>
    <x v="6"/>
    <x v="6"/>
    <n v="1906860"/>
    <s v="MARTA MARCIA RAMOS"/>
    <n v="18991425747"/>
    <s v="LAVADORA"/>
    <n v="1"/>
    <d v="2026-03-03T00:00:00"/>
    <d v="2026-03-04T00:00:00"/>
    <s v="12H00"/>
    <d v="2026-03-12T00:00:00"/>
    <x v="6"/>
    <s v="SIM"/>
    <m/>
  </r>
  <r>
    <x v="6"/>
    <x v="6"/>
    <n v="1906864"/>
    <s v="ROSALINA LUIZ   "/>
    <n v="17997166135"/>
    <s v="REFRIGERADOR"/>
    <n v="1"/>
    <d v="2026-03-03T00:00:00"/>
    <d v="2026-03-04T00:00:00"/>
    <s v="18H10"/>
    <d v="2026-03-04T00:00:00"/>
    <x v="6"/>
    <s v="SIM"/>
    <m/>
  </r>
  <r>
    <x v="6"/>
    <x v="6"/>
    <n v="1907029"/>
    <s v="EDEVALDO DO NASCIMENTO GRIBLER "/>
    <n v="51997802852"/>
    <s v="REFRIGERADOR"/>
    <n v="1"/>
    <d v="2026-03-05T00:00:00"/>
    <d v="2026-03-16T00:00:00"/>
    <s v="12H00"/>
    <d v="2026-03-16T00:00:00"/>
    <x v="6"/>
    <s v="SIM"/>
    <m/>
  </r>
  <r>
    <x v="7"/>
    <x v="7"/>
    <n v="1907004"/>
    <s v="FERNANDA DOS SANTOS "/>
    <n v="22988241949"/>
    <s v="REFRIGERADOR"/>
    <n v="1"/>
    <d v="2026-03-05T00:00:00"/>
    <d v="2026-03-11T00:00:00"/>
    <s v="12H00"/>
    <d v="2026-03-11T00:00:00"/>
    <x v="6"/>
    <s v="SIM"/>
    <m/>
  </r>
  <r>
    <x v="7"/>
    <x v="7"/>
    <n v="1907206"/>
    <s v="JOAO SOUSA"/>
    <n v="44999158332"/>
    <s v="TELEVISOR"/>
    <n v="1"/>
    <d v="2026-03-04T00:00:00"/>
    <d v="2026-03-05T00:00:00"/>
    <s v="12H00"/>
    <d v="2026-03-05T00:00:00"/>
    <x v="6"/>
    <s v="SIM"/>
    <m/>
  </r>
  <r>
    <x v="7"/>
    <x v="7"/>
    <n v="1907215"/>
    <s v="EDILENE PIRES DOS SANTOS"/>
    <n v="18991220550"/>
    <s v="REFRIGERADOR"/>
    <n v="1"/>
    <d v="2026-03-03T00:00:00"/>
    <d v="2026-03-04T00:00:00"/>
    <s v="12H00"/>
    <d v="2026-03-04T00:00:00"/>
    <x v="6"/>
    <s v="SIM"/>
    <m/>
  </r>
  <r>
    <x v="7"/>
    <x v="7"/>
    <n v="1907414"/>
    <s v="ALEX DANILO POLON ( barbearia "/>
    <n v="16992313443"/>
    <s v="PURIFICADOR DE ÁGUA"/>
    <n v="1"/>
    <d v="2026-03-03T00:00:00"/>
    <d v="2026-03-04T00:00:00"/>
    <s v="12H00"/>
    <d v="2026-03-05T00:00:00"/>
    <x v="6"/>
    <s v="NÃO"/>
    <m/>
  </r>
  <r>
    <x v="7"/>
    <x v="7"/>
    <n v="1907428"/>
    <s v="ERVINO CARLOS"/>
    <n v="51995068944"/>
    <s v="AR CONDICIONADO - TV - RECEPTOR PARABOLICA"/>
    <n v="3"/>
    <d v="2026-04-01T00:00:00"/>
    <d v="2026-03-25T00:00:00"/>
    <s v="12H00"/>
    <d v="2026-04-06T00:00:00"/>
    <x v="6"/>
    <s v="SIM"/>
    <m/>
  </r>
  <r>
    <x v="7"/>
    <x v="7"/>
    <n v="1907539"/>
    <s v=" NILZEIDE MENDONCA ARAGAO"/>
    <n v="18974001798"/>
    <s v="INTERFONE CAMPANHIA - MOTOR PORTÃO"/>
    <n v="2"/>
    <d v="2026-03-03T00:00:00"/>
    <d v="2026-03-04T00:00:00"/>
    <s v="12H00"/>
    <d v="2026-03-04T00:00:00"/>
    <x v="6"/>
    <s v="SIM"/>
    <m/>
  </r>
  <r>
    <x v="7"/>
    <x v="7"/>
    <n v="1907541"/>
    <s v="PEDRO ALVES DE BARROS"/>
    <n v="54991908313"/>
    <s v="REFRIGERADOR"/>
    <n v="1"/>
    <d v="2026-03-05T00:00:00"/>
    <d v="2026-04-09T00:00:00"/>
    <s v="12H00"/>
    <d v="2026-04-09T00:00:00"/>
    <x v="6"/>
    <s v="SIM"/>
    <m/>
  </r>
  <r>
    <x v="7"/>
    <x v="7"/>
    <n v="1907675"/>
    <s v="Sonia Moreira Lorenci"/>
    <n v="47997349367"/>
    <s v="SECADORA"/>
    <n v="1"/>
    <d v="2026-04-01T00:00:00"/>
    <d v="2026-04-01T00:00:00"/>
    <s v="12H00"/>
    <d v="2026-04-09T00:00:00"/>
    <x v="6"/>
    <s v="SIM"/>
    <m/>
  </r>
  <r>
    <x v="8"/>
    <x v="8"/>
    <n v="1907538"/>
    <s v="LEONILDO FRAGOSO"/>
    <n v="46991108415"/>
    <s v="TELEVISOR"/>
    <n v="1"/>
    <d v="2026-03-13T00:00:00"/>
    <d v="2026-03-13T00:00:00"/>
    <s v="16H00"/>
    <d v="2026-03-13T00:00:00"/>
    <x v="6"/>
    <s v="SIM"/>
    <s v="-"/>
  </r>
  <r>
    <x v="8"/>
    <x v="8"/>
    <n v="1907636"/>
    <s v="LUIZ GUSTAVO MOTA"/>
    <n v="48988674550"/>
    <s v="TELEVISOR"/>
    <n v="1"/>
    <d v="2026-04-06T00:00:00"/>
    <d v="2026-04-06T00:00:00"/>
    <s v="12H00"/>
    <d v="2026-04-13T00:00:00"/>
    <x v="6"/>
    <s v="SIM"/>
    <s v="-"/>
  </r>
  <r>
    <x v="8"/>
    <x v="8"/>
    <n v="1907745"/>
    <s v="ALCINDO DE OLIVEIRA "/>
    <n v="45998356417"/>
    <s v="TELEVISOR"/>
    <n v="1"/>
    <d v="2026-04-08T00:00:00"/>
    <d v="2026-04-08T00:00:00"/>
    <s v="12H00"/>
    <d v="2026-04-08T00:00:00"/>
    <x v="6"/>
    <s v="SIM"/>
    <s v="-"/>
  </r>
  <r>
    <x v="8"/>
    <x v="8"/>
    <n v="1907209"/>
    <s v="MAURICIO DOS SANTOS DA SILVA"/>
    <n v="54999218207"/>
    <s v="TELEVISOR"/>
    <n v="1"/>
    <d v="2026-03-05T00:00:00"/>
    <d v="2026-03-23T00:00:00"/>
    <s v="12H00"/>
    <d v="2026-03-23T00:00:00"/>
    <x v="6"/>
    <s v="SIM"/>
    <s v="-"/>
  </r>
  <r>
    <x v="8"/>
    <x v="8"/>
    <n v="1907426"/>
    <s v="LENIRA RODRIGUES DE LIMA"/>
    <n v="51994018106"/>
    <s v="AR CONDICIONADO"/>
    <n v="1"/>
    <d v="2026-03-05T00:00:00"/>
    <d v="2026-03-28T00:00:00"/>
    <s v="12H00"/>
    <d v="2026-03-28T00:00:00"/>
    <x v="6"/>
    <s v="SIM"/>
    <s v="-"/>
  </r>
  <r>
    <x v="8"/>
    <x v="8"/>
    <n v="1907533"/>
    <s v="IRACI SUSSIA "/>
    <n v="16999980411"/>
    <s v="TELEVISOR "/>
    <n v="1"/>
    <d v="2026-03-05T00:00:00"/>
    <d v="2026-03-05T00:00:00"/>
    <s v="11H00"/>
    <d v="2026-03-12T00:00:00"/>
    <x v="6"/>
    <s v="SIM"/>
    <m/>
  </r>
  <r>
    <x v="8"/>
    <x v="8"/>
    <n v="1907542"/>
    <s v="VITOR DE SOUZA DE ANTONIO"/>
    <n v="16999777441"/>
    <s v="TELEVISOR "/>
    <n v="1"/>
    <d v="2026-03-04T00:00:00"/>
    <d v="2026-03-04T00:00:00"/>
    <s v="11H30"/>
    <d v="2026-03-05T00:00:00"/>
    <x v="6"/>
    <s v="SIM"/>
    <m/>
  </r>
  <r>
    <x v="8"/>
    <x v="8"/>
    <n v="1907668"/>
    <s v="LAIS DA PAIXAO RIGONATO"/>
    <n v="19992232802"/>
    <s v="TELEVISOR 32¨- TELEVISOR 39¨"/>
    <n v="2"/>
    <d v="2026-03-05T00:00:00"/>
    <d v="2026-03-05T00:00:00"/>
    <s v="12H00"/>
    <d v="2026-03-12T00:00:00"/>
    <x v="6"/>
    <s v="SIM"/>
    <m/>
  </r>
  <r>
    <x v="8"/>
    <x v="8"/>
    <n v="1907740"/>
    <s v="VILMAR SOARES SANTOS"/>
    <n v="54999132103"/>
    <s v="TELEVISOR"/>
    <n v="1"/>
    <d v="2026-03-06T00:00:00"/>
    <d v="2026-03-31T00:00:00"/>
    <s v="12H00"/>
    <d v="2026-03-31T00:00:00"/>
    <x v="6"/>
    <s v="SIM"/>
    <s v="-"/>
  </r>
  <r>
    <x v="8"/>
    <x v="8"/>
    <n v="1907849"/>
    <s v="ANA CAROLINY DE OLIVEIRA SANTO"/>
    <n v="14991215979"/>
    <s v="TELEVISOR "/>
    <n v="1"/>
    <d v="2026-03-04T00:00:00"/>
    <d v="2026-03-05T00:00:00"/>
    <s v="12H00"/>
    <d v="2026-03-05T00:00:00"/>
    <x v="6"/>
    <s v="SIM"/>
    <m/>
  </r>
  <r>
    <x v="8"/>
    <x v="8"/>
    <n v="1907632"/>
    <s v="LEIDIANE BUENO DOS SANTOS CARDOSO"/>
    <n v="42999484310"/>
    <s v="TELEVISOR"/>
    <n v="1"/>
    <d v="2026-04-08T00:00:00"/>
    <d v="2026-04-08T00:00:00"/>
    <s v="12H00"/>
    <d v="2026-04-15T00:00:00"/>
    <x v="6"/>
    <s v="SIM"/>
    <m/>
  </r>
  <r>
    <x v="9"/>
    <x v="9"/>
    <n v="1908565"/>
    <s v="AMAURI  CLAUDINO"/>
    <n v="16982026411"/>
    <s v="TELEVISOR"/>
    <n v="1"/>
    <d v="2026-03-24T00:00:00"/>
    <d v="2026-03-24T00:00:00"/>
    <s v="12H00"/>
    <d v="2026-04-13T00:00:00"/>
    <x v="6"/>
    <s v="SIM"/>
    <m/>
  </r>
  <r>
    <x v="9"/>
    <x v="9"/>
    <n v="1907689"/>
    <s v="SEBASTIAO PIRES DE GODOY x NELSA"/>
    <n v="18997464667"/>
    <s v="REFRIGERADOR"/>
    <n v="1"/>
    <d v="2026-03-05T00:00:00"/>
    <d v="2026-03-06T00:00:00"/>
    <s v="12H00"/>
    <d v="2026-03-06T00:00:00"/>
    <x v="6"/>
    <s v="SIM"/>
    <m/>
  </r>
  <r>
    <x v="9"/>
    <x v="9"/>
    <n v="1907690"/>
    <s v="EVERSON ORLANDO DA COSTA"/>
    <n v="37999218349"/>
    <s v="TELEVISOR"/>
    <n v="1"/>
    <d v="2026-03-05T00:00:00"/>
    <d v="2026-03-09T00:00:00"/>
    <s v="12H00"/>
    <d v="2026-03-09T00:00:00"/>
    <x v="6"/>
    <s v="SIM"/>
    <s v="-"/>
  </r>
  <r>
    <x v="9"/>
    <x v="9"/>
    <n v="1907730"/>
    <s v="CRISTIANO FERNANDO DE MENDONCA"/>
    <n v="16994069416"/>
    <s v="REFRIGERADOR"/>
    <n v="1"/>
    <d v="2026-03-05T00:00:00"/>
    <d v="2026-03-05T00:00:00"/>
    <s v="15h00"/>
    <d v="2026-03-06T00:00:00"/>
    <x v="6"/>
    <s v="SIM"/>
    <m/>
  </r>
  <r>
    <x v="9"/>
    <x v="9"/>
    <n v="1908042"/>
    <s v="NAIRA CRISTINA MARTINS "/>
    <n v="18997645808"/>
    <s v="TELEVISOR"/>
    <n v="1"/>
    <d v="2026-03-05T00:00:00"/>
    <d v="2026-03-05T00:00:00"/>
    <s v="12H00"/>
    <d v="2026-03-06T00:00:00"/>
    <x v="6"/>
    <s v="SIM"/>
    <m/>
  </r>
  <r>
    <x v="9"/>
    <x v="9"/>
    <n v="1908052"/>
    <s v="CATARINE CB DE MEDEIROS"/>
    <n v="16997281970"/>
    <s v="TELEVISOR"/>
    <n v="1"/>
    <d v="2026-03-06T00:00:00"/>
    <d v="2026-03-12T00:00:00"/>
    <s v="12H00"/>
    <d v="2026-03-12T00:00:00"/>
    <x v="6"/>
    <s v="SIM"/>
    <m/>
  </r>
  <r>
    <x v="9"/>
    <x v="9"/>
    <n v="1908153"/>
    <s v="DENIZIA APARECIDA GOMES "/>
    <n v="19992440292"/>
    <s v="TELEVISOR"/>
    <n v="1"/>
    <d v="2026-03-06T00:00:00"/>
    <d v="2026-03-09T00:00:00"/>
    <s v="17h00"/>
    <d v="2026-03-17T00:00:00"/>
    <x v="6"/>
    <s v="SIM"/>
    <m/>
  </r>
  <r>
    <x v="9"/>
    <x v="9"/>
    <n v="1908384"/>
    <s v="KELE CRISTINA LIAR F AZAMBUJA"/>
    <n v="14996575685"/>
    <s v="TELEVISOR"/>
    <n v="1"/>
    <d v="2026-03-06T00:00:00"/>
    <d v="2026-03-06T00:00:00"/>
    <s v="15h00"/>
    <d v="2026-03-06T00:00:00"/>
    <x v="6"/>
    <s v="SIM"/>
    <m/>
  </r>
  <r>
    <x v="9"/>
    <x v="9"/>
    <n v="1908387"/>
    <s v="TAISA FERNANDA ZANETTE"/>
    <n v="17991931877"/>
    <s v="REFRIGERADOR"/>
    <n v="1"/>
    <d v="2026-03-06T00:00:00"/>
    <d v="2026-03-16T00:00:00"/>
    <s v="12H00"/>
    <d v="2026-03-16T00:00:00"/>
    <x v="6"/>
    <s v="SIM"/>
    <m/>
  </r>
  <r>
    <x v="9"/>
    <x v="9"/>
    <n v="1908573"/>
    <s v="PATRICIA XAVIER R SCHAVION "/>
    <n v="14991274274"/>
    <s v="TELEVISOR"/>
    <n v="1"/>
    <d v="2026-03-06T00:00:00"/>
    <d v="2026-03-24T00:00:00"/>
    <s v="12H00"/>
    <d v="2026-04-07T00:00:00"/>
    <x v="6"/>
    <s v="SIM"/>
    <s v="-"/>
  </r>
  <r>
    <x v="9"/>
    <x v="9"/>
    <n v="1908575"/>
    <s v="LUANA DOMINGUES"/>
    <n v="53991364568"/>
    <s v="TELEVISOR"/>
    <n v="1"/>
    <d v="2026-04-06T00:00:00"/>
    <d v="2026-03-19T00:00:00"/>
    <s v="12H00"/>
    <d v="2026-03-20T00:00:00"/>
    <x v="6"/>
    <s v="SIM"/>
    <m/>
  </r>
  <r>
    <x v="9"/>
    <x v="9"/>
    <n v="1908405"/>
    <s v="HELENA HANNA NASSER "/>
    <n v="11983769898"/>
    <s v="TELEVISOR"/>
    <n v="1"/>
    <d v="2026-04-09T00:00:00"/>
    <d v="2026-04-14T00:00:00"/>
    <s v="10H00"/>
    <d v="2026-04-14T00:00:00"/>
    <x v="6"/>
    <s v="SIM"/>
    <s v="-"/>
  </r>
  <r>
    <x v="10"/>
    <x v="10"/>
    <n v="1909105"/>
    <s v="MARIA L RIBEIRO CUNHA"/>
    <n v="16999661666"/>
    <s v="TELEVISOR"/>
    <n v="1"/>
    <d v="2026-03-06T00:00:00"/>
    <d v="2026-03-06T00:00:00"/>
    <s v="12H00"/>
    <d v="2026-04-13T00:00:00"/>
    <x v="6"/>
    <s v="SIM"/>
    <m/>
  </r>
  <r>
    <x v="10"/>
    <x v="10"/>
    <n v="1906532"/>
    <s v="SANDRO LUCIANO DOS SANTOS"/>
    <n v="55999699800"/>
    <s v="REFRIGERADOR"/>
    <n v="1"/>
    <d v="2026-03-06T00:00:00"/>
    <d v="2026-03-12T00:00:00"/>
    <s v="18H30"/>
    <d v="2026-03-20T00:00:00"/>
    <x v="6"/>
    <s v="SIM"/>
    <m/>
  </r>
  <r>
    <x v="10"/>
    <x v="10"/>
    <n v="1908910"/>
    <s v="MARIA JOSE RODRIGUES EVANGELISTA "/>
    <n v="16993620401"/>
    <s v="REFRIGERADOR"/>
    <n v="1"/>
    <d v="2026-03-09T00:00:00"/>
    <d v="2026-03-21T00:00:00"/>
    <s v="12H00"/>
    <d v="2026-03-23T00:00:00"/>
    <x v="6"/>
    <s v="SIM"/>
    <m/>
  </r>
  <r>
    <x v="10"/>
    <x v="10"/>
    <n v="1908913"/>
    <s v=" MARIA DE CASSIA SILVA DOS SANT"/>
    <n v="14996631854"/>
    <s v="LAVADORA"/>
    <n v="1"/>
    <d v="2026-03-09T00:00:00"/>
    <d v="2026-03-20T00:00:00"/>
    <s v="12H00"/>
    <d v="2026-03-20T00:00:00"/>
    <x v="6"/>
    <s v="SIM"/>
    <m/>
  </r>
  <r>
    <x v="10"/>
    <x v="10"/>
    <n v="1909027"/>
    <s v="MARIA JOSE DA SILVA"/>
    <n v="13996627377"/>
    <s v="REFRIGERADOR"/>
    <n v="1"/>
    <d v="2026-03-16T00:00:00"/>
    <d v="2026-03-26T00:00:00"/>
    <s v="12H00"/>
    <d v="2026-04-09T00:00:00"/>
    <x v="6"/>
    <s v="SIM"/>
    <s v="-"/>
  </r>
  <r>
    <x v="10"/>
    <x v="10"/>
    <n v="1909107"/>
    <s v="DYEGO INACIO DE BRITO"/>
    <n v="62998178174"/>
    <s v="TELEVISOR"/>
    <n v="2"/>
    <d v="2026-03-16T00:00:00"/>
    <d v="2026-03-18T00:00:00"/>
    <s v="12H00"/>
    <d v="2026-04-15T00:00:00"/>
    <x v="6"/>
    <s v="SIM"/>
    <s v="-"/>
  </r>
  <r>
    <x v="10"/>
    <x v="10"/>
    <n v="1909108"/>
    <s v="ANGELA MARIA FIGUEIREDO"/>
    <n v="15992018415"/>
    <s v="TELEVISOR"/>
    <n v="1"/>
    <d v="2026-03-07T00:00:00"/>
    <d v="2026-03-06T00:00:00"/>
    <s v="12H00"/>
    <d v="2026-03-13T00:00:00"/>
    <x v="6"/>
    <s v="SIM"/>
    <m/>
  </r>
  <r>
    <x v="10"/>
    <x v="10"/>
    <n v="1909185"/>
    <s v="DIONIZIO HONORIO DE OLIVEIRA NETO"/>
    <n v="19998859039"/>
    <s v="REFRIGERADOR"/>
    <n v="1"/>
    <d v="2026-03-09T00:00:00"/>
    <d v="2026-03-12T00:00:00"/>
    <s v="12H00"/>
    <d v="2026-03-16T00:00:00"/>
    <x v="6"/>
    <s v="SIM"/>
    <m/>
  </r>
  <r>
    <x v="10"/>
    <x v="10"/>
    <n v="1909189"/>
    <s v="LEONARDO LEMES CARUSSI"/>
    <n v="17996552383"/>
    <s v="TELEVISOR "/>
    <n v="1"/>
    <d v="2026-03-07T00:00:00"/>
    <d v="2026-03-09T00:00:00"/>
    <s v="12H00"/>
    <d v="2026-03-11T00:00:00"/>
    <x v="6"/>
    <s v="SIM"/>
    <m/>
  </r>
  <r>
    <x v="10"/>
    <x v="10"/>
    <n v="1909100"/>
    <s v="EVA LEONOR CORREA DA LUZ"/>
    <n v="11985687989"/>
    <s v="DECODIFICADOR - LAVADORA"/>
    <n v="2"/>
    <d v="2026-04-14T00:00:00"/>
    <d v="2026-04-15T00:00:00"/>
    <s v="13H00"/>
    <d v="2026-04-16T00:00:00"/>
    <x v="6"/>
    <s v="SIM"/>
    <s v="-"/>
  </r>
  <r>
    <x v="11"/>
    <x v="11"/>
    <n v="1909366"/>
    <s v="JOSE LAERCIO RODRIGUES "/>
    <n v="16997431150"/>
    <s v="REFRIGERADOR"/>
    <n v="1"/>
    <d v="2026-04-15T00:00:00"/>
    <d v="2026-04-16T00:00:00"/>
    <s v="18H00"/>
    <d v="2026-04-20T00:00:00"/>
    <x v="6"/>
    <s v="SIM"/>
    <m/>
  </r>
  <r>
    <x v="11"/>
    <x v="11"/>
    <n v="1909265"/>
    <s v="MARIA ROSA DA COSTA SILVA"/>
    <n v="19985591123"/>
    <s v="TELEVISOR "/>
    <n v="1"/>
    <d v="2026-03-10T00:00:00"/>
    <d v="2026-03-16T00:00:00"/>
    <s v="18H00"/>
    <d v="2026-03-17T00:00:00"/>
    <x v="6"/>
    <s v="SIM"/>
    <m/>
  </r>
  <r>
    <x v="11"/>
    <x v="11"/>
    <n v="1909267"/>
    <s v="FLAVIA FERNANDA MARTINS BOMFIM"/>
    <n v="14998082808"/>
    <s v="FORNO MICROONDAS"/>
    <n v="1"/>
    <d v="2026-03-10T00:00:00"/>
    <d v="2026-03-17T00:00:00"/>
    <s v="11H30"/>
    <d v="2026-03-19T00:00:00"/>
    <x v="6"/>
    <s v="SIM"/>
    <m/>
  </r>
  <r>
    <x v="11"/>
    <x v="11"/>
    <n v="1909270"/>
    <s v="JACIRA APARECIDA SAMPAIO NICOL"/>
    <n v="42988251323"/>
    <s v="REFRIGERADOR"/>
    <n v="1"/>
    <d v="2026-03-10T00:00:00"/>
    <d v="2026-03-11T00:00:00"/>
    <s v="12H00"/>
    <d v="2026-03-11T00:00:00"/>
    <x v="6"/>
    <s v="SIM"/>
    <m/>
  </r>
  <r>
    <x v="11"/>
    <x v="11"/>
    <n v="1909278"/>
    <s v="JOAO VITOR DE AZAMBUJA SILVA "/>
    <n v="45999010045"/>
    <s v="LAVA\SECA-LAVA-LOUÇAS"/>
    <n v="2"/>
    <d v="2026-03-10T00:00:00"/>
    <d v="2026-03-20T00:00:00"/>
    <s v="12H00"/>
    <d v="2026-03-20T00:00:00"/>
    <x v="6"/>
    <s v="SIM"/>
    <m/>
  </r>
  <r>
    <x v="11"/>
    <x v="11"/>
    <n v="1909288"/>
    <s v="ANDERSON JOSE DOS SANTOS"/>
    <n v="43998318281"/>
    <s v="MICROONDAS"/>
    <n v="1"/>
    <d v="2026-03-10T00:00:00"/>
    <d v="2026-03-16T00:00:00"/>
    <s v="12H00"/>
    <d v="2026-03-16T00:00:00"/>
    <x v="6"/>
    <s v="SIM"/>
    <m/>
  </r>
  <r>
    <x v="11"/>
    <x v="11"/>
    <n v="1909420"/>
    <s v="MARIA QUINOR SILVA"/>
    <n v="11988254029"/>
    <s v="TELEVISOR "/>
    <n v="1"/>
    <d v="2026-03-10T00:00:00"/>
    <d v="2026-03-16T00:00:00"/>
    <s v="12H00"/>
    <d v="2026-03-17T00:00:00"/>
    <x v="6"/>
    <s v="SIM"/>
    <m/>
  </r>
  <r>
    <x v="11"/>
    <x v="11"/>
    <n v="1909475"/>
    <s v="LUCIA REGINA DA SILVA SILVEIRA"/>
    <n v="22988241949"/>
    <s v="REFRIGERADOR"/>
    <n v="1"/>
    <d v="2026-03-10T00:00:00"/>
    <d v="2026-03-11T00:00:00"/>
    <s v="12H00"/>
    <d v="2026-03-19T00:00:00"/>
    <x v="6"/>
    <s v="SIM"/>
    <m/>
  </r>
  <r>
    <x v="11"/>
    <x v="11"/>
    <n v="1909741"/>
    <s v="LAURA CAROLINE SILVA SOUZA "/>
    <n v="18996999577"/>
    <s v="TELEVISOR "/>
    <n v="1"/>
    <d v="2026-03-10T00:00:00"/>
    <d v="2026-03-11T00:00:00"/>
    <s v="12H00"/>
    <d v="2026-03-11T00:00:00"/>
    <x v="6"/>
    <s v="SIM"/>
    <m/>
  </r>
  <r>
    <x v="11"/>
    <x v="11"/>
    <n v="1909743"/>
    <s v="MARIA GRACIVETE DA SILVA"/>
    <n v="11966369872"/>
    <s v="TELEVISOR"/>
    <n v="1"/>
    <d v="2026-03-10T00:00:00"/>
    <d v="2026-03-16T00:00:00"/>
    <s v="16H30"/>
    <d v="2026-03-20T00:00:00"/>
    <x v="6"/>
    <s v="SIM"/>
    <m/>
  </r>
  <r>
    <x v="11"/>
    <x v="11"/>
    <n v="1909758"/>
    <s v="SIMONE MENDES DA SILVA"/>
    <n v="21990704673"/>
    <s v="REFRIGERADOR"/>
    <n v="1"/>
    <d v="2026-03-10T00:00:00"/>
    <d v="2026-03-11T00:00:00"/>
    <s v="12H00"/>
    <d v="2026-03-17T00:00:00"/>
    <x v="6"/>
    <s v="SIM"/>
    <m/>
  </r>
  <r>
    <x v="11"/>
    <x v="11"/>
    <n v="1909765"/>
    <s v="ALEXANDRE VALADAO DE FREITAS"/>
    <n v="11995780855"/>
    <s v="REFRIGERADOR"/>
    <n v="1"/>
    <d v="2026-03-10T00:00:00"/>
    <d v="2026-03-10T00:00:00"/>
    <s v="12H00"/>
    <d v="2026-03-13T00:00:00"/>
    <x v="6"/>
    <s v="SIM"/>
    <m/>
  </r>
  <r>
    <x v="12"/>
    <x v="12"/>
    <n v="1909963"/>
    <s v="LUIS BOESING"/>
    <n v="49984346866"/>
    <s v="REFRIGERADOR"/>
    <n v="1"/>
    <d v="2026-03-18T00:00:00"/>
    <d v="2026-03-18T00:00:00"/>
    <s v="12H00"/>
    <d v="2026-04-13T00:00:00"/>
    <x v="6"/>
    <s v="SIM"/>
    <s v="-"/>
  </r>
  <r>
    <x v="12"/>
    <x v="12"/>
    <n v="1910051"/>
    <s v="FELIPE DAGNER DA SILVA TEIXEIRA"/>
    <n v="48996088189"/>
    <s v="TELEVISOR"/>
    <n v="1"/>
    <d v="2026-03-19T00:00:00"/>
    <d v="2026-03-31T00:00:00"/>
    <s v="12H00"/>
    <d v="2026-03-31T00:00:00"/>
    <x v="6"/>
    <s v="SIM"/>
    <s v="-"/>
  </r>
  <r>
    <x v="12"/>
    <x v="12"/>
    <n v="1910182"/>
    <s v="ROSARIA LOURDES DE PAULA"/>
    <n v="35988720587"/>
    <m/>
    <n v="1"/>
    <d v="2026-03-18T00:00:00"/>
    <d v="2026-03-25T00:00:00"/>
    <s v="17HOO"/>
    <d v="2026-03-25T00:00:00"/>
    <x v="6"/>
    <s v="SIM"/>
    <m/>
  </r>
  <r>
    <x v="12"/>
    <x v="12"/>
    <n v="1909878"/>
    <s v="MICHEL LUCAS CUSTODIO SILVA"/>
    <n v="35999483550"/>
    <s v="BOMBA DE PISCINA"/>
    <n v="1"/>
    <d v="2026-03-11T00:00:00"/>
    <d v="2026-03-18T00:00:00"/>
    <s v="14H00"/>
    <d v="2026-03-23T00:00:00"/>
    <x v="6"/>
    <s v="SIM"/>
    <m/>
  </r>
  <r>
    <x v="12"/>
    <x v="12"/>
    <n v="1910036"/>
    <s v="KATIA NUNES "/>
    <n v="14996956576"/>
    <s v="REFRIGERADOR"/>
    <n v="1"/>
    <d v="2026-03-12T00:00:00"/>
    <d v="2026-03-13T00:00:00"/>
    <s v="10H00"/>
    <d v="2026-03-16T00:00:00"/>
    <x v="6"/>
    <s v="SIM"/>
    <m/>
  </r>
  <r>
    <x v="12"/>
    <x v="12"/>
    <n v="1910037"/>
    <s v="ODAIR DONIZETE CONTARIN"/>
    <n v="16997408587"/>
    <s v="TELEVISOR"/>
    <n v="1"/>
    <d v="2026-03-11T00:00:00"/>
    <d v="2026-03-11T00:00:00"/>
    <s v="12H00"/>
    <d v="2026-03-11T00:00:00"/>
    <x v="6"/>
    <s v="SIM"/>
    <m/>
  </r>
  <r>
    <x v="12"/>
    <x v="12"/>
    <n v="1910040"/>
    <s v="MARIA ROSA OLIVEIRA MARTINS"/>
    <n v="55991174439"/>
    <s v="TELEVISOR"/>
    <n v="1"/>
    <d v="2026-03-12T00:00:00"/>
    <d v="2026-04-06T00:00:00"/>
    <s v="12H00"/>
    <d v="2026-04-07T00:00:00"/>
    <x v="6"/>
    <s v="NÃO"/>
    <s v="-"/>
  </r>
  <r>
    <x v="12"/>
    <x v="12"/>
    <n v="1910052"/>
    <s v="RENE ASSIS"/>
    <n v="16992853219"/>
    <s v="REFRIGERADOR"/>
    <n v="1"/>
    <d v="2026-03-10T00:00:00"/>
    <d v="2026-03-11T00:00:00"/>
    <s v="12H00"/>
    <d v="2026-03-16T00:00:00"/>
    <x v="6"/>
    <s v="SIM"/>
    <m/>
  </r>
  <r>
    <x v="12"/>
    <x v="12"/>
    <n v="1910183"/>
    <s v="ROGERIO FIGUEREDO "/>
    <n v="19981560638"/>
    <s v="TELEVISOR "/>
    <n v="1"/>
    <d v="2026-03-11T00:00:00"/>
    <d v="2026-03-11T00:00:00"/>
    <s v="12H00"/>
    <d v="2026-03-17T00:00:00"/>
    <x v="6"/>
    <s v="SIM"/>
    <m/>
  </r>
  <r>
    <x v="12"/>
    <x v="12"/>
    <n v="1910572"/>
    <s v=" BRUNA STEPHANY SILVA DE MATOS"/>
    <n v="16997566919"/>
    <s v="TELEVISOR"/>
    <n v="1"/>
    <d v="2026-03-11T00:00:00"/>
    <d v="2026-03-21T00:00:00"/>
    <s v="10H00"/>
    <d v="2026-03-23T00:00:00"/>
    <x v="6"/>
    <s v="SIM"/>
    <m/>
  </r>
  <r>
    <x v="12"/>
    <x v="12"/>
    <s v="1909880 "/>
    <s v="EDNA CRISTIANE MARCOLINI"/>
    <n v="66999915689"/>
    <s v="TELEVISOR"/>
    <n v="1"/>
    <d v="2026-03-10T00:00:00"/>
    <d v="2026-04-01T00:00:00"/>
    <s v="12H00"/>
    <d v="2026-04-01T00:00:00"/>
    <x v="6"/>
    <s v="NÃO"/>
    <m/>
  </r>
  <r>
    <x v="12"/>
    <x v="12"/>
    <n v="1910128"/>
    <s v="JACQUELINE RIBEIRO DA SILVA "/>
    <n v="64992115117"/>
    <s v="TANQUINO"/>
    <n v="1"/>
    <d v="2026-04-16T00:00:00"/>
    <d v="2026-04-17T00:00:00"/>
    <s v="11H30"/>
    <d v="2026-04-20T00:00:00"/>
    <x v="6"/>
    <s v="SIM"/>
    <m/>
  </r>
  <r>
    <x v="13"/>
    <x v="13"/>
    <n v="1910383"/>
    <s v="ALBERTO RICARDO BRUSCAGIM"/>
    <n v="44999680927"/>
    <m/>
    <n v="1"/>
    <m/>
    <d v="2026-03-25T00:00:00"/>
    <s v="16H40"/>
    <d v="2026-03-26T00:00:00"/>
    <x v="6"/>
    <s v="SIM"/>
    <m/>
  </r>
  <r>
    <x v="13"/>
    <x v="13"/>
    <n v="1910564"/>
    <s v="ADRIANA TURIANI FUCHS"/>
    <n v="4699410711"/>
    <s v="LAVADORA"/>
    <n v="1"/>
    <d v="2026-03-21T00:00:00"/>
    <d v="2026-03-24T00:00:00"/>
    <s v="12H00"/>
    <d v="2026-04-08T00:00:00"/>
    <x v="6"/>
    <s v="SIM"/>
    <m/>
  </r>
  <r>
    <x v="13"/>
    <x v="13"/>
    <n v="1910567"/>
    <s v="SIMONE RIBEIRO FERNANDES "/>
    <n v="51981309647"/>
    <s v="REFRIGERADOR"/>
    <n v="1"/>
    <d v="2026-03-16T00:00:00"/>
    <d v="2026-04-02T00:00:00"/>
    <s v="12H00"/>
    <d v="2026-04-15T00:00:00"/>
    <x v="6"/>
    <s v="SIM"/>
    <s v="-"/>
  </r>
  <r>
    <x v="13"/>
    <x v="13"/>
    <n v="1910580"/>
    <s v="GIOVANNA ROMERO DE SOUZA "/>
    <n v="18997539451"/>
    <s v="TELEVISOR"/>
    <n v="1"/>
    <d v="2026-03-12T00:00:00"/>
    <d v="2026-03-18T00:00:00"/>
    <s v="10H00"/>
    <d v="2026-03-20T00:00:00"/>
    <x v="6"/>
    <s v="SIM"/>
    <m/>
  </r>
  <r>
    <x v="13"/>
    <x v="13"/>
    <n v="1910668"/>
    <s v="DEIVISSON DA SILVA VILELA"/>
    <n v="33999117107"/>
    <s v="TELEVISOR"/>
    <n v="1"/>
    <d v="2026-04-06T00:00:00"/>
    <d v="2026-04-08T00:00:00"/>
    <s v="12H00"/>
    <d v="2026-04-09T00:00:00"/>
    <x v="6"/>
    <s v="SIM"/>
    <s v="-"/>
  </r>
  <r>
    <x v="13"/>
    <x v="13"/>
    <n v="1910670"/>
    <s v="DIVINO JUSTINO RAFAE"/>
    <n v="34991898075"/>
    <s v="TELEVISOR"/>
    <n v="1"/>
    <d v="2026-03-13T00:00:00"/>
    <d v="2026-03-23T00:00:00"/>
    <s v="12H00"/>
    <d v="2026-04-08T00:00:00"/>
    <x v="6"/>
    <s v="SIM"/>
    <m/>
  </r>
  <r>
    <x v="14"/>
    <x v="14"/>
    <n v="1910806"/>
    <s v="PAOLA ROCHA DA SILVA"/>
    <n v="51991529907"/>
    <s v="PC GAMER"/>
    <n v="1"/>
    <d v="2026-04-16T00:00:00"/>
    <d v="2026-04-16T00:00:00"/>
    <s v="12H00"/>
    <d v="2026-04-16T00:00:00"/>
    <x v="6"/>
    <s v="SIM"/>
    <m/>
  </r>
  <r>
    <x v="14"/>
    <x v="14"/>
    <n v="1910910"/>
    <s v="ANA CLAUDIA ARAGON"/>
    <n v="16981541813"/>
    <s v="TELEVISOR"/>
    <n v="1"/>
    <d v="2026-03-13T00:00:00"/>
    <d v="2026-03-17T00:00:00"/>
    <s v="17H41"/>
    <d v="2026-04-20T00:00:00"/>
    <x v="6"/>
    <s v="SIM"/>
    <m/>
  </r>
  <r>
    <x v="14"/>
    <x v="14"/>
    <n v="1905889"/>
    <s v="CELIO DE SOUZA PEREIRA"/>
    <n v="18996666130"/>
    <s v="REFRIGERADOR"/>
    <n v="1"/>
    <d v="2026-03-16T00:00:00"/>
    <d v="2026-03-17T00:00:00"/>
    <s v="12H00"/>
    <d v="2026-03-17T00:00:00"/>
    <x v="6"/>
    <s v="SIM"/>
    <m/>
  </r>
  <r>
    <x v="14"/>
    <x v="14"/>
    <n v="1907316"/>
    <s v="PAULO HENRIQUE GOMES"/>
    <n v="14997786917"/>
    <s v="FREEZER"/>
    <n v="1"/>
    <d v="2026-03-13T00:00:00"/>
    <d v="2026-03-20T00:00:00"/>
    <s v="12H00"/>
    <d v="2026-03-20T00:00:00"/>
    <x v="6"/>
    <s v="SIM"/>
    <m/>
  </r>
  <r>
    <x v="14"/>
    <x v="14"/>
    <n v="1908303"/>
    <s v="ALESSANDRO FERREIRA DA SILVA"/>
    <n v="18991255127"/>
    <s v="REFRIGERADOR"/>
    <n v="1"/>
    <d v="2026-03-13T00:00:00"/>
    <d v="2026-03-16T00:00:00"/>
    <s v="12H00"/>
    <d v="2026-03-16T00:00:00"/>
    <x v="6"/>
    <s v="SIM"/>
    <m/>
  </r>
  <r>
    <x v="14"/>
    <x v="14"/>
    <n v="1910800"/>
    <s v="MIGUEL JOSE FRANCISCO "/>
    <n v="16992287830"/>
    <s v="TELEVISOR"/>
    <n v="1"/>
    <d v="2026-03-13T00:00:00"/>
    <d v="2026-03-18T00:00:00"/>
    <s v="13H30"/>
    <d v="2026-03-18T00:00:00"/>
    <x v="6"/>
    <s v="SIM"/>
    <m/>
  </r>
  <r>
    <x v="14"/>
    <x v="14"/>
    <n v="1910808"/>
    <s v=" LEANDRO GUSTAVO GUILHEN MARQUE "/>
    <n v="19996345551"/>
    <s v="LAVADORA"/>
    <n v="1"/>
    <d v="2026-03-13T00:00:00"/>
    <d v="2026-03-12T00:00:00"/>
    <s v="12H00"/>
    <d v="2026-03-19T00:00:00"/>
    <x v="6"/>
    <s v="SIM"/>
    <m/>
  </r>
  <r>
    <x v="14"/>
    <x v="14"/>
    <n v="1910816"/>
    <s v="MORIZE MESSINA MELLO  "/>
    <n v="55997248642"/>
    <s v="TELEVISOR"/>
    <n v="1"/>
    <d v="2026-03-13T00:00:00"/>
    <d v="2026-03-21T00:00:00"/>
    <s v="12H00"/>
    <d v="2026-03-25T00:00:00"/>
    <x v="6"/>
    <s v="SIM"/>
    <m/>
  </r>
  <r>
    <x v="14"/>
    <x v="14"/>
    <n v="1910819"/>
    <s v="TIAGO GERALDO DE SOUSA"/>
    <n v="16992275742"/>
    <s v="TELEVISOR"/>
    <n v="1"/>
    <d v="2026-03-13T00:00:00"/>
    <d v="2026-04-01T00:00:00"/>
    <s v="12H00"/>
    <d v="2026-04-08T00:00:00"/>
    <x v="6"/>
    <s v="SIM"/>
    <m/>
  </r>
  <r>
    <x v="14"/>
    <x v="14"/>
    <n v="1911048"/>
    <s v="APARECIDA DAS DORES DE LIMA OCHOA "/>
    <n v="17991113091"/>
    <s v="REFRIGERADOR"/>
    <n v="1"/>
    <d v="2026-03-27T00:00:00"/>
    <d v="2026-03-27T00:00:00"/>
    <s v="12H00"/>
    <d v="2026-03-31T00:00:00"/>
    <x v="6"/>
    <s v="SIM"/>
    <m/>
  </r>
  <r>
    <x v="14"/>
    <x v="14"/>
    <n v="1911050"/>
    <s v="DAIANE CAPELA RESPLANDES "/>
    <n v="91991526484"/>
    <s v="TELEVISOR"/>
    <n v="1"/>
    <d v="2026-03-13T00:00:00"/>
    <d v="2026-03-21T00:00:00"/>
    <s v="12H00"/>
    <d v="2026-03-23T00:00:00"/>
    <x v="6"/>
    <s v="SIM"/>
    <m/>
  </r>
  <r>
    <x v="15"/>
    <x v="15"/>
    <n v="1911334"/>
    <s v="JOSE LIMA DOS SANTOS"/>
    <n v="16992507524"/>
    <s v="TELEVISOR"/>
    <n v="1"/>
    <d v="2026-03-16T00:00:00"/>
    <d v="2026-03-31T00:00:00"/>
    <s v="12H00"/>
    <d v="2026-04-01T00:00:00"/>
    <x v="6"/>
    <s v="SIM"/>
    <s v="-"/>
  </r>
  <r>
    <x v="15"/>
    <x v="15"/>
    <n v="1911380"/>
    <s v="TALITA VITORIA SOARES MACIEL"/>
    <n v="46999006436"/>
    <s v="TELEVISOR"/>
    <n v="1"/>
    <d v="2026-03-16T00:00:00"/>
    <d v="2026-03-25T00:00:00"/>
    <s v="18H00"/>
    <d v="2026-03-27T00:00:00"/>
    <x v="6"/>
    <s v="SIM"/>
    <m/>
  </r>
  <r>
    <x v="15"/>
    <x v="15"/>
    <n v="1911382"/>
    <s v="JAIR GROSSI"/>
    <n v="18991383281"/>
    <s v="TELEVISOR"/>
    <n v="1"/>
    <d v="2026-03-14T00:00:00"/>
    <d v="2026-03-16T00:00:00"/>
    <s v="14H00"/>
    <d v="2026-03-19T00:00:00"/>
    <x v="6"/>
    <s v="SIM"/>
    <m/>
  </r>
  <r>
    <x v="15"/>
    <x v="15"/>
    <n v="1911395"/>
    <s v="ROSANIA MATTEI NOGUEIRA"/>
    <n v="48996022324"/>
    <s v="LAVADORA"/>
    <n v="1"/>
    <d v="2026-03-16T00:00:00"/>
    <d v="2026-03-17T00:00:00"/>
    <s v="09H00"/>
    <d v="2026-03-18T00:00:00"/>
    <x v="6"/>
    <s v="SIM"/>
    <m/>
  </r>
  <r>
    <x v="15"/>
    <x v="15"/>
    <n v="1911581"/>
    <s v="NERCI SCHIMITZ DIAS"/>
    <n v="55999917177"/>
    <s v="TELEVISOR"/>
    <n v="1"/>
    <d v="2026-03-16T00:00:00"/>
    <d v="2026-03-20T00:00:00"/>
    <s v="09H00"/>
    <d v="2026-03-20T00:00:00"/>
    <x v="6"/>
    <s v="SIM"/>
    <m/>
  </r>
  <r>
    <x v="15"/>
    <x v="15"/>
    <n v="1911460"/>
    <s v="GLAUCO RODRIGUES FELTRIN"/>
    <n v="17991695191"/>
    <s v="LAVADORA - AR CONDICIONADO"/>
    <n v="3"/>
    <d v="2026-04-13T00:00:00"/>
    <d v="2026-04-13T00:00:00"/>
    <s v="19h00"/>
    <d v="2026-04-14T00:00:00"/>
    <x v="6"/>
    <s v="SIM"/>
    <s v="-"/>
  </r>
  <r>
    <x v="24"/>
    <x v="24"/>
    <n v="1911745"/>
    <s v="MARIA FATIMA SILVA ROCHA"/>
    <n v="16991423474"/>
    <s v="FORNO MICROONDAS"/>
    <n v="1"/>
    <d v="2026-03-18T00:00:00"/>
    <d v="2026-03-31T00:00:00"/>
    <s v="12H00"/>
    <d v="2026-03-31T00:00:00"/>
    <x v="6"/>
    <s v="SIM"/>
    <m/>
  </r>
  <r>
    <x v="24"/>
    <x v="24"/>
    <n v="1912178"/>
    <s v=" GABRIELA APARECIDA JURADO"/>
    <n v="14991932364"/>
    <s v="COOKTOP DE INDUÇÃO"/>
    <n v="1"/>
    <d v="2026-03-18T00:00:00"/>
    <d v="2026-03-18T00:00:00"/>
    <s v="10H30"/>
    <d v="2026-03-20T00:00:00"/>
    <x v="6"/>
    <s v="SIM"/>
    <m/>
  </r>
  <r>
    <x v="16"/>
    <x v="16"/>
    <n v="1919591"/>
    <s v="LUIZ PEDRO MOREIRA LOPES"/>
    <n v="49988413155"/>
    <s v="LAVADORA"/>
    <n v="1"/>
    <d v="2026-04-17T00:00:00"/>
    <d v="2026-04-20T00:00:00"/>
    <s v="11H30"/>
    <d v="2026-04-20T00:00:00"/>
    <x v="6"/>
    <s v="SIM"/>
    <m/>
  </r>
  <r>
    <x v="16"/>
    <x v="16"/>
    <n v="1919585"/>
    <s v="MARIANA DA SILVA QUIRINO"/>
    <n v="21965582074"/>
    <s v="TELEVISOR"/>
    <n v="1"/>
    <d v="2026-04-06T00:00:00"/>
    <d v="2026-04-07T00:00:00"/>
    <s v="12H00"/>
    <d v="2026-04-07T00:00:00"/>
    <x v="6"/>
    <s v="SIM"/>
    <m/>
  </r>
  <r>
    <x v="16"/>
    <x v="16"/>
    <n v="1919646"/>
    <s v="MARINALVA PEREIRA LOPES"/>
    <s v="19 998860510"/>
    <s v="TELEVISOR"/>
    <n v="1"/>
    <d v="2026-04-06T00:00:00"/>
    <d v="2026-04-07T00:00:00"/>
    <s v="12H00"/>
    <d v="2026-04-07T00:00:00"/>
    <x v="6"/>
    <s v="SIM"/>
    <m/>
  </r>
  <r>
    <x v="16"/>
    <x v="16"/>
    <n v="1919647"/>
    <s v="CLAUDINEI VICENTE DOS SANTOS"/>
    <s v="15 981231732 "/>
    <s v="REFRIGERADOR"/>
    <n v="1"/>
    <d v="2026-04-06T00:00:00"/>
    <d v="2026-04-07T00:00:00"/>
    <s v="12H00"/>
    <d v="2026-04-07T00:00:00"/>
    <x v="6"/>
    <s v="SIM"/>
    <m/>
  </r>
  <r>
    <x v="16"/>
    <x v="16"/>
    <n v="1919675"/>
    <s v="MARIA CARMO FORZAR INACIO"/>
    <n v="3588656683"/>
    <s v="TELEVISOR"/>
    <n v="1"/>
    <d v="2026-04-07T00:00:00"/>
    <d v="2026-04-09T00:00:00"/>
    <s v="17h30"/>
    <d v="2026-04-10T00:00:00"/>
    <x v="6"/>
    <s v="SIM"/>
    <m/>
  </r>
  <r>
    <x v="16"/>
    <x v="16"/>
    <n v="1919729"/>
    <s v="KEITYANE DINIZ"/>
    <s v=" 83 996252654"/>
    <s v="REFRIGERADOR"/>
    <n v="1"/>
    <d v="2026-04-07T00:00:00"/>
    <d v="2026-04-09T00:00:00"/>
    <d v="1899-12-30T10:30:00"/>
    <d v="2026-04-09T00:00:00"/>
    <x v="6"/>
    <s v="SIM"/>
    <m/>
  </r>
  <r>
    <x v="16"/>
    <x v="16"/>
    <n v="1919730"/>
    <s v="LEA APARECIDA LUPI DE OLIVEIRA"/>
    <n v="16999990217"/>
    <s v="LAVADORA"/>
    <n v="1"/>
    <d v="2026-04-07T00:00:00"/>
    <d v="2026-04-07T00:00:00"/>
    <s v="12H00"/>
    <d v="2026-04-07T00:00:00"/>
    <x v="6"/>
    <s v="SIM"/>
    <m/>
  </r>
  <r>
    <x v="16"/>
    <x v="16"/>
    <n v="1919658"/>
    <s v="ANTONIO SORRENTINI FILHO"/>
    <n v="11984768787"/>
    <s v="TELEVISOR"/>
    <n v="1"/>
    <d v="2026-04-09T00:00:00"/>
    <d v="2026-04-10T00:00:00"/>
    <s v="13H30"/>
    <d v="2026-04-15T00:00:00"/>
    <x v="6"/>
    <s v="SIM"/>
    <m/>
  </r>
  <r>
    <x v="17"/>
    <x v="17"/>
    <n v="1919972"/>
    <s v="JESSICA MIRIAM MILHEIROS MORETI"/>
    <s v=" 17996554296"/>
    <s v="TELEVISOR"/>
    <n v="2"/>
    <d v="2026-04-07T00:00:00"/>
    <d v="2026-04-09T00:00:00"/>
    <s v="16H00"/>
    <d v="2026-04-09T00:00:00"/>
    <x v="6"/>
    <s v="SIM"/>
    <m/>
  </r>
  <r>
    <x v="17"/>
    <x v="17"/>
    <n v="1919974"/>
    <s v="LUCAS DA SILVA SOUSA"/>
    <n v="16993019551"/>
    <s v="REFRIGERADOR"/>
    <n v="1"/>
    <d v="2026-04-07T00:00:00"/>
    <d v="2026-04-08T00:00:00"/>
    <s v="14H00"/>
    <d v="2026-04-08T00:00:00"/>
    <x v="6"/>
    <s v="SIM"/>
    <m/>
  </r>
  <r>
    <x v="17"/>
    <x v="17"/>
    <n v="1919820"/>
    <s v="GABRIEL MENDES DE OLIVEIRA"/>
    <n v="18991316530"/>
    <s v="TELEVISOR - LAVADORA - REFRIGERADOR"/>
    <n v="3"/>
    <d v="2026-04-08T00:00:00"/>
    <d v="2026-04-08T00:00:00"/>
    <s v="12H00"/>
    <d v="2026-04-15T00:00:00"/>
    <x v="6"/>
    <s v="SIM"/>
    <m/>
  </r>
  <r>
    <x v="17"/>
    <x v="17"/>
    <n v="1919814"/>
    <s v="LUISA CHINELLI SANTOS"/>
    <s v=" 73981320380"/>
    <s v="LAVADORA"/>
    <n v="1"/>
    <d v="2026-04-07T00:00:00"/>
    <d v="2026-04-08T00:00:00"/>
    <s v="18H00"/>
    <d v="2026-04-15T00:00:00"/>
    <x v="6"/>
    <s v="SIM"/>
    <m/>
  </r>
  <r>
    <x v="17"/>
    <x v="17"/>
    <n v="1919902"/>
    <s v="MARCELO ANDRE HAAG"/>
    <s v=" 5197511002"/>
    <s v="REFRIGERADOR"/>
    <n v="1"/>
    <d v="2026-04-08T00:00:00"/>
    <d v="2026-04-10T00:00:00"/>
    <s v="10H00"/>
    <d v="2026-04-15T00:00:00"/>
    <x v="6"/>
    <s v="SIM"/>
    <m/>
  </r>
  <r>
    <x v="17"/>
    <x v="17"/>
    <n v="1919904"/>
    <s v="FABIO GREEN MORETI"/>
    <s v=" 17996560280"/>
    <s v="FREEZER"/>
    <n v="1"/>
    <d v="2026-04-07T00:00:00"/>
    <d v="2026-04-07T00:00:00"/>
    <s v="12H00"/>
    <d v="2026-04-15T00:00:00"/>
    <x v="6"/>
    <s v="SIM"/>
    <m/>
  </r>
  <r>
    <x v="17"/>
    <x v="17"/>
    <n v="1919908"/>
    <s v="MAICON LUCAS VIANA GARAHI"/>
    <s v=" 6791997385"/>
    <s v="AR CONDICIONADO"/>
    <n v="1"/>
    <d v="2026-04-07T00:00:00"/>
    <d v="2026-04-09T00:00:00"/>
    <s v="8H00"/>
    <d v="2026-04-15T00:00:00"/>
    <x v="6"/>
    <s v="SIM"/>
    <m/>
  </r>
  <r>
    <x v="17"/>
    <x v="17"/>
    <n v="1919811"/>
    <s v="MARIA L ANTONIO"/>
    <n v="16991265056"/>
    <s v="MOTOR DE PORTÃO"/>
    <n v="1"/>
    <d v="2026-04-09T00:00:00"/>
    <d v="2026-04-10T00:00:00"/>
    <s v="17h00"/>
    <d v="2026-04-17T00:00:00"/>
    <x v="6"/>
    <s v="SIM"/>
    <s v="REAGENDOU PARA 13/04/2026 às 17h00"/>
  </r>
  <r>
    <x v="18"/>
    <x v="18"/>
    <n v="1920356"/>
    <s v="ROSILENE DE PAULA RODA"/>
    <s v="18 997488585"/>
    <s v="CAMERA WIFI"/>
    <n v="4"/>
    <d v="2026-04-09T00:00:00"/>
    <d v="2026-04-09T00:00:00"/>
    <s v="12H00"/>
    <d v="2026-04-10T00:00:00"/>
    <x v="6"/>
    <s v="SIM"/>
    <m/>
  </r>
  <r>
    <x v="18"/>
    <x v="18"/>
    <n v="1920361"/>
    <s v="SANTINA DE FATIMA HORNANEIS PUSSI"/>
    <s v="17 996279280 "/>
    <s v="TELEVISOR"/>
    <n v="1"/>
    <d v="2026-04-07T00:00:00"/>
    <d v="2026-04-09T00:00:00"/>
    <s v="11H00"/>
    <d v="2026-04-10T00:00:00"/>
    <x v="6"/>
    <s v="SIM"/>
    <m/>
  </r>
  <r>
    <x v="18"/>
    <x v="18"/>
    <n v="1920459"/>
    <s v="IVETE DE FATIMA SILVEIRA"/>
    <s v="54 991200828"/>
    <s v="TELEVISOR"/>
    <n v="1"/>
    <d v="2026-04-09T00:00:00"/>
    <d v="2026-04-10T00:00:00"/>
    <s v="18H30"/>
    <d v="2026-04-15T00:00:00"/>
    <x v="6"/>
    <s v="SIM"/>
    <m/>
  </r>
  <r>
    <x v="18"/>
    <x v="18"/>
    <n v="1920520"/>
    <s v="JUNIOR DAGOSTIN"/>
    <s v="48 999321345"/>
    <s v="REFLETOR - LAMPADA"/>
    <n v="4"/>
    <d v="2026-04-09T00:00:00"/>
    <d v="2026-04-10T00:00:00"/>
    <s v="17h00"/>
    <d v="2026-04-15T00:00:00"/>
    <x v="6"/>
    <s v="SIM"/>
    <m/>
  </r>
  <r>
    <x v="18"/>
    <x v="18"/>
    <n v="1920524"/>
    <s v="MARIA VITORIA CANDIDO PACAGNAN"/>
    <n v="19999910682"/>
    <s v="REFRIGERADOR - AR CONDICIONADO"/>
    <n v="1"/>
    <d v="2026-04-07T00:00:00"/>
    <d v="2026-04-09T00:00:00"/>
    <s v="13H00"/>
    <d v="2026-04-15T00:00:00"/>
    <x v="6"/>
    <s v="SIM"/>
    <m/>
  </r>
  <r>
    <x v="18"/>
    <x v="18"/>
    <n v="1920359"/>
    <s v="VANILDA F M ALMEIDA"/>
    <s v="16 996165194"/>
    <s v="TELEVISOR"/>
    <n v="1"/>
    <d v="2026-04-09T00:00:00"/>
    <d v="2026-04-09T00:00:00"/>
    <s v="17h00"/>
    <d v="2026-04-16T00:00:00"/>
    <x v="6"/>
    <s v="SIM"/>
    <m/>
  </r>
  <r>
    <x v="18"/>
    <x v="18"/>
    <n v="1920092"/>
    <s v="ANDREA CRISTINA FACONI"/>
    <s v="19 993357974 "/>
    <s v="TELEVISOR"/>
    <n v="2"/>
    <d v="2026-04-09T00:00:00"/>
    <d v="2026-04-10T00:00:00"/>
    <s v="11H00"/>
    <d v="2026-04-20T00:00:00"/>
    <x v="6"/>
    <s v="SIM"/>
    <m/>
  </r>
  <r>
    <x v="19"/>
    <x v="19"/>
    <n v="1920861"/>
    <s v="RODRIGO ADRIANA DE OLIVEIRA"/>
    <s v="16 992660337"/>
    <s v="TELEVISOR"/>
    <n v="2"/>
    <d v="2026-04-10T00:00:00"/>
    <d v="2026-04-11T00:00:00"/>
    <s v="12H00"/>
    <d v="2026-04-11T00:00:00"/>
    <x v="6"/>
    <s v="SIM"/>
    <m/>
  </r>
  <r>
    <x v="19"/>
    <x v="19"/>
    <n v="1920951"/>
    <s v="SANDRA GONCALVES GOMES"/>
    <s v="33 987373494"/>
    <s v="AR CONDICIONADO"/>
    <n v="1"/>
    <d v="2026-04-10T00:00:00"/>
    <d v="2026-04-14T00:00:00"/>
    <s v="09H30"/>
    <d v="2026-04-15T00:00:00"/>
    <x v="6"/>
    <s v="SIM"/>
    <m/>
  </r>
  <r>
    <x v="19"/>
    <x v="19"/>
    <n v="1920675"/>
    <s v="ANDRE DA SILVA GOMES"/>
    <s v="51 997651438"/>
    <s v="REFRIGERADO"/>
    <n v="1"/>
    <d v="2026-04-10T00:00:00"/>
    <d v="2026-04-13T00:00:00"/>
    <s v="8H30"/>
    <d v="2026-04-15T00:00:00"/>
    <x v="6"/>
    <s v="SIM"/>
    <m/>
  </r>
  <r>
    <x v="19"/>
    <x v="19"/>
    <n v="1920872"/>
    <s v="CLAUDIO PEDROLI FEILHO"/>
    <s v="19 998406545"/>
    <s v="TELEVISOR"/>
    <n v="1"/>
    <d v="2026-04-10T00:00:00"/>
    <d v="2026-04-13T00:00:00"/>
    <s v="12H00"/>
    <d v="2026-04-15T00:00:00"/>
    <x v="6"/>
    <s v="SIM"/>
    <m/>
  </r>
  <r>
    <x v="19"/>
    <x v="19"/>
    <n v="1920681"/>
    <s v="ELISABETE SANTOS ROMAGNOLI"/>
    <s v="16 997063770"/>
    <s v="LAVADORA"/>
    <n v="1"/>
    <d v="2026-04-14T00:00:00"/>
    <d v="2026-04-15T00:00:00"/>
    <s v="11H00"/>
    <d v="2026-04-16T00:00:00"/>
    <x v="6"/>
    <s v="SIM"/>
    <s v="Realizei contato via Tel - Só Chama - Deixei mensagem via WhatsApp"/>
  </r>
  <r>
    <x v="20"/>
    <x v="20"/>
    <n v="1921267"/>
    <s v=" JAIR BAIRROS MACHADO"/>
    <s v="49 991161673"/>
    <s v="TELEVISOR"/>
    <n v="1"/>
    <d v="2026-04-13T00:00:00"/>
    <d v="2026-04-13T00:00:00"/>
    <s v="8H30"/>
    <d v="2026-04-15T00:00:00"/>
    <x v="6"/>
    <s v="SIM"/>
    <m/>
  </r>
  <r>
    <x v="20"/>
    <x v="20"/>
    <n v="1921417"/>
    <s v="THIFANY APARECIDA PAIVA DUTRA"/>
    <s v="34 996588844"/>
    <s v="TELEVISOR"/>
    <n v="1"/>
    <d v="2026-04-10T00:00:00"/>
    <d v="2026-04-10T00:00:00"/>
    <s v="12H00"/>
    <d v="2026-04-11T00:00:00"/>
    <x v="6"/>
    <s v="SIM"/>
    <m/>
  </r>
  <r>
    <x v="20"/>
    <x v="20"/>
    <n v="1921273"/>
    <s v="MARIA SOCORRO DA SILVA LIMA"/>
    <s v=" 61 995772443 "/>
    <s v="REFRIGERADOR"/>
    <n v="1"/>
    <d v="2026-04-10T00:00:00"/>
    <d v="2026-04-14T00:00:00"/>
    <s v="16H00"/>
    <d v="2026-04-16T00:00:00"/>
    <x v="6"/>
    <s v="SIM"/>
    <m/>
  </r>
  <r>
    <x v="20"/>
    <x v="20"/>
    <n v="1921416"/>
    <s v="NARCISO APARECIDO DE ABREU"/>
    <s v="19 995611598"/>
    <s v="TELEVISOR"/>
    <n v="1"/>
    <d v="2026-04-13T00:00:00"/>
    <d v="2026-04-14T00:00:00"/>
    <s v="19h00"/>
    <d v="2026-04-16T00:00:00"/>
    <x v="6"/>
    <s v="SIM"/>
    <m/>
  </r>
  <r>
    <x v="20"/>
    <x v="20"/>
    <n v="1921297"/>
    <s v="MARIA RENILDA DA SILVA SANTOS"/>
    <n v="11987045299"/>
    <s v="TELEVISOR"/>
    <n v="1"/>
    <d v="2026-04-14T00:00:00"/>
    <d v="2026-04-15T00:00:00"/>
    <s v="17h00"/>
    <d v="2026-04-17T00:00:00"/>
    <x v="6"/>
    <s v="SIM"/>
    <m/>
  </r>
  <r>
    <x v="20"/>
    <x v="20"/>
    <n v="1921294"/>
    <s v="TANIA REGINA BATISTA DA SILVA"/>
    <n v="54991360236"/>
    <s v="LAVADORA"/>
    <n v="1"/>
    <d v="2026-04-10T00:00:00"/>
    <d v="2026-04-10T00:00:00"/>
    <s v="18H00"/>
    <d v="2026-04-16T00:00:00"/>
    <x v="6"/>
    <s v="SIM"/>
    <m/>
  </r>
  <r>
    <x v="20"/>
    <x v="20"/>
    <n v="1921296"/>
    <s v="ONIRIA DIRCE VERONEZ"/>
    <s v="16 981186710"/>
    <s v="MOTOR DE PORTÃO - MICROONDAS"/>
    <n v="2"/>
    <d v="2026-04-14T00:00:00"/>
    <d v="2026-04-15T00:00:00"/>
    <s v="13H00"/>
    <d v="2026-04-17T00:00:00"/>
    <x v="6"/>
    <s v="SIM"/>
    <m/>
  </r>
  <r>
    <x v="20"/>
    <x v="20"/>
    <n v="1921190"/>
    <s v="ESCOLASTICA SANTOS"/>
    <s v="64 984385899"/>
    <s v="REFRIGERADOR"/>
    <n v="1"/>
    <d v="2026-04-10T00:00:00"/>
    <d v="2026-04-20T00:00:00"/>
    <s v="15h00"/>
    <d v="2026-04-20T00:00:00"/>
    <x v="6"/>
    <s v="SIM"/>
    <m/>
  </r>
  <r>
    <x v="25"/>
    <x v="25"/>
    <n v="1921728"/>
    <s v="ANTONIO JOSE DOS SANTOS"/>
    <s v="16 997974828"/>
    <s v="VENTILADOR"/>
    <n v="1"/>
    <d v="2026-04-17T00:00:00"/>
    <d v="2026-04-22T00:00:00"/>
    <s v="19h00"/>
    <d v="2026-04-24T00:00:00"/>
    <x v="6"/>
    <s v="SIM"/>
    <s v="Cliente informa que não abriu Sinistro na Seguradora"/>
  </r>
  <r>
    <x v="25"/>
    <x v="25"/>
    <n v="1921991"/>
    <s v="THAMYLLA CAROLINE JANUARIO"/>
    <s v="14 998131692"/>
    <s v="VENTILADOR"/>
    <n v="1"/>
    <d v="2026-04-13T00:00:00"/>
    <d v="2026-04-14T00:00:00"/>
    <s v="17h30"/>
    <d v="2026-04-15T00:00:00"/>
    <x v="6"/>
    <s v="SIM"/>
    <m/>
  </r>
  <r>
    <x v="25"/>
    <x v="25"/>
    <n v="1921735"/>
    <s v="RENATO DOMINGOS PEREIRA"/>
    <s v="16 997421142"/>
    <s v="LAVADORA"/>
    <n v="1"/>
    <d v="2026-04-13T00:00:00"/>
    <d v="2026-04-14T00:00:00"/>
    <s v="10H30"/>
    <d v="2026-04-15T00:00:00"/>
    <x v="6"/>
    <s v="SIM"/>
    <m/>
  </r>
  <r>
    <x v="25"/>
    <x v="25"/>
    <n v="1921945"/>
    <s v="GISLENE DE BRITO CARVALHO CORREIA "/>
    <s v="86 999926072"/>
    <s v="TELEVISOR"/>
    <n v="1"/>
    <d v="2026-04-13T00:00:00"/>
    <d v="2026-04-13T00:00:00"/>
    <s v="16H00"/>
    <d v="2026-04-15T00:00:00"/>
    <x v="6"/>
    <s v="SIM"/>
    <m/>
  </r>
  <r>
    <x v="25"/>
    <x v="25"/>
    <n v="1921824"/>
    <s v="ALVARO BUENO DE GOIS"/>
    <s v="17 991599619"/>
    <s v="TELEVISOR"/>
    <n v="1"/>
    <d v="2026-04-13T00:00:00"/>
    <d v="2026-04-14T00:00:00"/>
    <s v="15h00"/>
    <d v="2026-04-16T00:00:00"/>
    <x v="6"/>
    <s v="SIM"/>
    <m/>
  </r>
  <r>
    <x v="25"/>
    <x v="25"/>
    <n v="1921579"/>
    <s v="MARIA JOSE DA SILVA FERREIRA"/>
    <s v="44 988577772"/>
    <s v="REFRIGERADOR"/>
    <n v="1"/>
    <d v="2026-04-14T00:00:00"/>
    <d v="2026-04-15T00:00:00"/>
    <s v="14H00"/>
    <d v="2026-04-15T00:00:00"/>
    <x v="6"/>
    <s v="SIM"/>
    <m/>
  </r>
  <r>
    <x v="25"/>
    <x v="25"/>
    <n v="1921435"/>
    <s v="VALMIR BARBIERI"/>
    <s v="46 999342394"/>
    <s v="TELEVISOR"/>
    <n v="1"/>
    <d v="2026-04-13T00:00:00"/>
    <d v="2026-04-16T00:00:00"/>
    <s v="09H00"/>
    <d v="2026-04-17T00:00:00"/>
    <x v="6"/>
    <s v="SIM"/>
    <m/>
  </r>
  <r>
    <x v="25"/>
    <x v="25"/>
    <n v="1921977"/>
    <s v="ALZEMAR ROSA DIAS"/>
    <s v="33 988043531"/>
    <s v="REFRIGERADOR"/>
    <n v="1"/>
    <d v="2026-04-15T00:00:00"/>
    <d v="2026-04-16T00:00:00"/>
    <s v="17h00"/>
    <d v="2026-04-17T00:00:00"/>
    <x v="6"/>
    <s v="SIM"/>
    <m/>
  </r>
  <r>
    <x v="25"/>
    <x v="25"/>
    <n v="1921826"/>
    <s v="GILBERTO WILLIAN DA CUNHA SANTOS"/>
    <s v="16 993574702"/>
    <s v="TELEVISOR"/>
    <n v="1"/>
    <d v="2026-04-13T00:00:00"/>
    <d v="2026-04-20T00:00:00"/>
    <s v="09H00"/>
    <d v="2026-04-20T00:00:00"/>
    <x v="6"/>
    <s v="SIM"/>
    <m/>
  </r>
  <r>
    <x v="25"/>
    <x v="25"/>
    <n v="1921590"/>
    <s v="LUCILENA MARQUES "/>
    <n v="16997240856"/>
    <s v="REFRIGERADOR"/>
    <n v="1"/>
    <d v="2026-04-15T00:00:00"/>
    <d v="2026-04-17T00:00:00"/>
    <s v="11HOO"/>
    <d v="2026-04-17T00:00:00"/>
    <x v="6"/>
    <s v="SIM"/>
    <m/>
  </r>
  <r>
    <x v="21"/>
    <x v="21"/>
    <n v="1922129"/>
    <s v="THEODOLINDA BENAGLIA DA SILVA  "/>
    <s v="16 92000-2586"/>
    <s v="TELEVISOR"/>
    <n v="1"/>
    <d v="2026-04-17T00:00:00"/>
    <d v="2026-04-20T00:00:00"/>
    <s v="16H00"/>
    <d v="2026-04-23T00:00:00"/>
    <x v="6"/>
    <s v="SIM"/>
    <s v="Tentei contato - Enviei Mensagem via WhatsApp"/>
  </r>
  <r>
    <x v="21"/>
    <x v="21"/>
    <n v="1922203"/>
    <s v="SIMONE RODRIGUES MAGALHAES"/>
    <s v="44 988443913"/>
    <s v="MOTOR PORTÃO - AR CONDICIONADO"/>
    <n v="2"/>
    <d v="2026-04-15T00:00:00"/>
    <d v="2026-04-17T00:00:00"/>
    <s v="16H00"/>
    <d v="2026-04-23T00:00:00"/>
    <x v="6"/>
    <s v="SIM"/>
    <m/>
  </r>
  <r>
    <x v="21"/>
    <x v="21"/>
    <n v="1922053"/>
    <s v="RICARDO ACIONE RODRIGUES"/>
    <s v="55 999934332"/>
    <s v="TELEVISOR - REFRIGERADOR"/>
    <n v="2"/>
    <d v="2026-04-14T00:00:00"/>
    <d v="2026-04-14T00:00:00"/>
    <s v="16H30"/>
    <d v="2026-04-16T00:00:00"/>
    <x v="6"/>
    <s v="SIM"/>
    <m/>
  </r>
  <r>
    <x v="21"/>
    <x v="21"/>
    <n v="1922205"/>
    <s v="ISMAEL OLIVEIRA DOS SANTOS"/>
    <s v="77 999578503"/>
    <s v="LAVADORA-TELEVISOR- TELEVISOR"/>
    <n v="3"/>
    <d v="2026-04-15T00:00:00"/>
    <d v="2026-04-16T00:00:00"/>
    <s v="10H00"/>
    <d v="2026-04-17T00:00:00"/>
    <x v="6"/>
    <s v="SIM"/>
    <m/>
  </r>
  <r>
    <x v="21"/>
    <x v="21"/>
    <n v="1922137"/>
    <s v="JOICE DE JESUS ALVES"/>
    <s v="13 996627377"/>
    <s v="REFRIGERADOR"/>
    <n v="1"/>
    <d v="2026-04-14T00:00:00"/>
    <d v="2026-04-15T00:00:00"/>
    <s v="12H00"/>
    <d v="2026-04-15T00:00:00"/>
    <x v="6"/>
    <s v="SIM"/>
    <m/>
  </r>
  <r>
    <x v="21"/>
    <x v="21"/>
    <n v="1922459"/>
    <s v="NAIR THEODORO MIRALIS"/>
    <s v="11 964695138"/>
    <s v="TELEVISOR"/>
    <n v="1"/>
    <d v="2026-04-15T00:00:00"/>
    <d v="2026-04-17T00:00:00"/>
    <s v="15H30"/>
    <d v="2026-04-17T00:00:00"/>
    <x v="6"/>
    <s v="SIM"/>
    <m/>
  </r>
  <r>
    <x v="21"/>
    <x v="21"/>
    <n v="1922211"/>
    <s v="MARINALVA BARTOLOMEU"/>
    <s v="11 982507899"/>
    <s v="TELEVISOR"/>
    <n v="1"/>
    <d v="2026-04-16T00:00:00"/>
    <d v="2026-04-18T00:00:00"/>
    <s v="10H00"/>
    <d v="2026-04-22T00:00:00"/>
    <x v="6"/>
    <s v="SIM"/>
    <m/>
  </r>
  <r>
    <x v="3"/>
    <x v="3"/>
    <n v="1922569"/>
    <s v="ANGELICA VICENTE ROCHA"/>
    <s v=" 16 991530362  "/>
    <s v="TELEVISOR"/>
    <n v="1"/>
    <d v="2026-04-17T00:00:00"/>
    <d v="2026-04-20T00:00:00"/>
    <s v="13H00"/>
    <d v="2026-04-24T00:00:00"/>
    <x v="6"/>
    <s v="SIM"/>
    <m/>
  </r>
  <r>
    <x v="3"/>
    <x v="3"/>
    <n v="1922945"/>
    <s v="VITORIA APARECIDA DILIO DE LIMA"/>
    <s v="44 988648265"/>
    <s v="TELEVISOR"/>
    <n v="1"/>
    <d v="2026-04-16T00:00:00"/>
    <d v="2026-04-16T00:00:00"/>
    <s v="12H00"/>
    <d v="2026-04-17T00:00:00"/>
    <x v="6"/>
    <s v="SIM"/>
    <s v="Tel cai direto na caixa Postal - Envie mensagem via WhatsApp"/>
  </r>
  <r>
    <x v="3"/>
    <x v="3"/>
    <n v="1922663"/>
    <s v="FATIMA AMBROSINA DO AMARAL PEREIRA"/>
    <s v="51 986537044 - 55 997010108"/>
    <s v="LAVADORA"/>
    <n v="1"/>
    <d v="2026-04-16T00:00:00"/>
    <d v="2026-04-17T00:00:00"/>
    <s v="15h00"/>
    <d v="2026-04-17T00:00:00"/>
    <x v="6"/>
    <s v="SIM"/>
    <m/>
  </r>
  <r>
    <x v="3"/>
    <x v="3"/>
    <n v="1922949"/>
    <s v="LEONILDO DA SILVA"/>
    <s v="54 996186725"/>
    <s v="MOTOR DE PORTÃO"/>
    <n v="1"/>
    <d v="2026-04-16T00:00:00"/>
    <d v="2026-04-17T00:00:00"/>
    <s v="19h00"/>
    <d v="2026-04-18T00:00:00"/>
    <x v="6"/>
    <s v="SIM"/>
    <m/>
  </r>
  <r>
    <x v="3"/>
    <x v="3"/>
    <n v="1922830"/>
    <s v="TERESINHA DA SILVA"/>
    <s v="47 992239383"/>
    <s v="TELEVISOR"/>
    <n v="1"/>
    <d v="2026-04-16T00:00:00"/>
    <d v="2026-04-17T00:00:00"/>
    <s v="14H00"/>
    <d v="2026-04-22T00:00:00"/>
    <x v="6"/>
    <s v="SIM"/>
    <m/>
  </r>
  <r>
    <x v="4"/>
    <x v="4"/>
    <s v="1923366 "/>
    <s v="DIONE CESAR DE SOUZA"/>
    <n v="64993087151"/>
    <s v="TELEVISOR"/>
    <n v="1"/>
    <d v="2026-04-16T00:00:00"/>
    <d v="2026-04-23T00:00:00"/>
    <s v="13H00"/>
    <d v="2026-04-24T00:00:00"/>
    <x v="6"/>
    <s v="SIM"/>
    <m/>
  </r>
  <r>
    <x v="4"/>
    <x v="4"/>
    <n v="1923159"/>
    <s v="DIEGO LACERDA DE LIMA"/>
    <n v="51995841282"/>
    <s v="TELEVISOR"/>
    <n v="1"/>
    <d v="2026-04-16T00:00:00"/>
    <d v="2026-04-20T00:00:00"/>
    <s v="13H30"/>
    <d v="2026-04-20T00:00:00"/>
    <x v="6"/>
    <s v="SIM"/>
    <m/>
  </r>
  <r>
    <x v="4"/>
    <x v="4"/>
    <n v="1923080"/>
    <s v=" JAQUELINE DE MELO NUNES"/>
    <n v="86988851193"/>
    <s v="TELEVISOR"/>
    <n v="1"/>
    <d v="2026-04-16T00:00:00"/>
    <d v="2026-04-18T00:00:00"/>
    <s v="13H00"/>
    <d v="2026-04-22T00:00:00"/>
    <x v="6"/>
    <s v="SIM"/>
    <m/>
  </r>
  <r>
    <x v="22"/>
    <x v="22"/>
    <n v="1923786"/>
    <s v="SILVIA LETICIA CORREA"/>
    <s v="16 994158207"/>
    <s v="TELEVISOR"/>
    <n v="1"/>
    <d v="2026-04-17T00:00:00"/>
    <d v="2026-04-20T00:00:00"/>
    <s v="18H00"/>
    <d v="2026-04-24T00:00:00"/>
    <x v="6"/>
    <s v="SIM"/>
    <m/>
  </r>
  <r>
    <x v="22"/>
    <x v="22"/>
    <n v="1923775"/>
    <s v="KIZZY SATYRO"/>
    <s v="16 997843688 "/>
    <s v="MOTOR DE PORTÃO"/>
    <n v="1"/>
    <d v="2026-04-17T00:00:00"/>
    <d v="2026-04-22T00:00:00"/>
    <s v="18H30"/>
    <d v="2026-04-23T00:00:00"/>
    <x v="6"/>
    <s v="SIM"/>
    <m/>
  </r>
  <r>
    <x v="22"/>
    <x v="22"/>
    <n v="1923773"/>
    <s v="ELICLAUDIA DE LOURDES DA SILVA"/>
    <s v="15996049973 - 15997407960"/>
    <s v="TELEVISOR"/>
    <n v="1"/>
    <d v="2026-04-22T00:00:00"/>
    <d v="2026-04-22T00:00:00"/>
    <s v="15h00"/>
    <d v="2026-04-23T00:00:00"/>
    <x v="6"/>
    <s v="SIM"/>
    <s v="Tel chama duas Vezes e desliga."/>
  </r>
  <r>
    <x v="22"/>
    <x v="22"/>
    <n v="1923688"/>
    <s v="BARBARA CURY RAD RODRIGUES REI "/>
    <s v="86 988185046 "/>
    <s v="AR CONDICIONADO"/>
    <n v="3"/>
    <d v="2026-04-20T00:00:00"/>
    <d v="2026-04-22T00:00:00"/>
    <s v="14H00"/>
    <d v="2026-04-23T00:00:00"/>
    <x v="6"/>
    <s v="SIM"/>
    <m/>
  </r>
  <r>
    <x v="22"/>
    <x v="22"/>
    <n v="1923709"/>
    <s v="FELIPE DO NASCIMENTO"/>
    <s v="48 999407171"/>
    <s v="TELEVISOR"/>
    <n v="1"/>
    <d v="2026-04-17T00:00:00"/>
    <d v="2026-04-22T00:00:00"/>
    <s v="12H15"/>
    <d v="2026-04-22T00:00:00"/>
    <x v="6"/>
    <s v="SIM"/>
    <m/>
  </r>
  <r>
    <x v="22"/>
    <x v="22"/>
    <n v="1923597"/>
    <s v="VALDIR DA SILVA"/>
    <s v="16 999791712"/>
    <s v="REFRIGERADOR"/>
    <n v="1"/>
    <d v="2026-04-17T00:00:00"/>
    <d v="2026-04-18T00:00:00"/>
    <s v="12h00"/>
    <d v="2026-04-20T00:00:00"/>
    <x v="6"/>
    <s v="SIM"/>
    <m/>
  </r>
  <r>
    <x v="22"/>
    <x v="22"/>
    <n v="1923770"/>
    <s v="NEUZIVAN DA COSTA SILVA"/>
    <s v="16 999792600"/>
    <s v="TELEVISOR"/>
    <n v="1"/>
    <d v="2026-04-17T00:00:00"/>
    <d v="2026-04-20T00:00:00"/>
    <s v="12H30"/>
    <d v="2026-04-20T00:00:00"/>
    <x v="6"/>
    <s v="SIM"/>
    <m/>
  </r>
  <r>
    <x v="22"/>
    <x v="22"/>
    <n v="1923782"/>
    <s v="PEDRO MONTOIA JUNIOR"/>
    <s v="43 991302243"/>
    <s v="TELEVISOR"/>
    <n v="2"/>
    <d v="2026-04-20T00:00:00"/>
    <d v="2026-04-20T00:00:00"/>
    <s v="19h00"/>
    <d v="2026-04-22T00:00:00"/>
    <x v="6"/>
    <s v="SIM"/>
    <m/>
  </r>
  <r>
    <x v="22"/>
    <x v="22"/>
    <n v="1923706"/>
    <s v="MARIA FATIMA OLIVEIRA SILVA"/>
    <s v="16 994621339"/>
    <s v="REFRIGERADOR"/>
    <n v="1"/>
    <d v="2026-04-17T00:00:00"/>
    <d v="2026-04-20T00:00:00"/>
    <s v="11H00"/>
    <d v="2026-04-22T00:00:00"/>
    <x v="6"/>
    <s v="SIM"/>
    <m/>
  </r>
  <r>
    <x v="23"/>
    <x v="23"/>
    <n v="1924283"/>
    <s v="EMA ANA HOFFMAN DE CASTRO"/>
    <s v="31 984890053"/>
    <s v="LAVADORA"/>
    <n v="1"/>
    <d v="2026-04-22T00:00:00"/>
    <d v="2026-04-23T00:00:00"/>
    <s v="15h00"/>
    <d v="2026-04-24T00:00:00"/>
    <x v="6"/>
    <s v="SIM"/>
    <m/>
  </r>
  <r>
    <x v="23"/>
    <x v="23"/>
    <n v="1924131"/>
    <s v="TIAGO APARECIDO SOARES"/>
    <s v="19 992050242"/>
    <s v="TELEVISOR-LAVA LOUÇA"/>
    <n v="2"/>
    <d v="2026-04-22T00:00:00"/>
    <d v="2026-04-23T00:00:00"/>
    <s v="19H00"/>
    <d v="2026-04-24T00:00:00"/>
    <x v="6"/>
    <s v="SIM"/>
    <m/>
  </r>
  <r>
    <x v="23"/>
    <x v="23"/>
    <n v="1924134"/>
    <s v="VALDIR JOAQUIM THOMAZ"/>
    <s v="44 998583127"/>
    <s v="TELEVISOR"/>
    <n v="1"/>
    <d v="2026-04-22T00:00:00"/>
    <d v="2026-04-22T00:00:00"/>
    <s v="13H00"/>
    <d v="2026-04-22T00:00:00"/>
    <x v="6"/>
    <s v="NÃO"/>
    <m/>
  </r>
  <r>
    <x v="23"/>
    <x v="23"/>
    <n v="1924287"/>
    <s v="CLAUDENICE DUTRA DE SENA"/>
    <n v="11975852663"/>
    <s v="LAVADORA"/>
    <n v="1"/>
    <d v="2026-04-22T00:00:00"/>
    <d v="2026-04-23T00:00:00"/>
    <s v="11H00"/>
    <d v="2026-04-23T00:00:00"/>
    <x v="6"/>
    <s v="SIM"/>
    <s v="Tel so Chama - Enviei mensagem via WhatsApp"/>
  </r>
  <r>
    <x v="23"/>
    <x v="23"/>
    <n v="1924213"/>
    <s v="MARA SANTANA DE OLIVEIRA"/>
    <s v="18 991861014"/>
    <s v="TELEVISOR"/>
    <n v="1"/>
    <d v="2026-04-22T00:00:00"/>
    <d v="2026-04-23T00:00:00"/>
    <s v="10H00"/>
    <d v="2026-04-23T00:00:00"/>
    <x v="6"/>
    <s v="SIM"/>
    <m/>
  </r>
  <r>
    <x v="23"/>
    <x v="23"/>
    <n v="1924269"/>
    <s v="JOSE ANTONIO PAGANOTTI"/>
    <s v="19 991030324"/>
    <s v="REFRIGERADOR"/>
    <n v="1"/>
    <d v="2026-04-22T00:00:00"/>
    <d v="2026-04-23T00:00:00"/>
    <s v="11H30"/>
    <d v="2026-04-24T00:00:00"/>
    <x v="6"/>
    <s v="NÃO"/>
    <m/>
  </r>
  <r>
    <x v="23"/>
    <x v="23"/>
    <n v="1924147"/>
    <s v="ZILDA RODRIGUES DA SILVA"/>
    <s v="19 994542529"/>
    <s v="LAVADORA"/>
    <n v="1"/>
    <d v="2026-04-22T00:00:00"/>
    <d v="2026-04-24T00:00:00"/>
    <s v="9H00"/>
    <d v="2026-04-24T00:00:00"/>
    <x v="6"/>
    <s v="SIM"/>
    <s v="Tel so Chama - Enviei mensagem via WhatsApp"/>
  </r>
  <r>
    <x v="23"/>
    <x v="23"/>
    <n v="1924140"/>
    <s v="CLEUSA APARECIDA PINTO DE SOUZA "/>
    <n v="16997787338"/>
    <m/>
    <n v="1"/>
    <d v="2026-04-23T00:00:00"/>
    <d v="2026-04-24T00:00:00"/>
    <s v="13H00"/>
    <d v="2026-04-27T00:00:00"/>
    <x v="6"/>
    <s v="SIM"/>
    <m/>
  </r>
  <r>
    <x v="5"/>
    <x v="5"/>
    <n v="1924555"/>
    <s v="VILMAR DE MARCH"/>
    <s v="46 91084382 - 46 999370513"/>
    <s v="TELEVISOR"/>
    <n v="1"/>
    <d v="2026-04-22T00:00:00"/>
    <d v="2026-04-23T00:00:00"/>
    <s v="18H00"/>
    <d v="2026-04-24T00:00:00"/>
    <x v="6"/>
    <s v="SIM"/>
    <m/>
  </r>
  <r>
    <x v="5"/>
    <x v="5"/>
    <n v="1924553"/>
    <s v="CRISTINA APARECIDA DA SILVA"/>
    <s v="17 997433893"/>
    <s v="TELEVISOR"/>
    <n v="1"/>
    <d v="2026-04-22T00:00:00"/>
    <d v="2026-04-23T00:00:00"/>
    <s v="14H00"/>
    <d v="2026-04-24T00:00:00"/>
    <x v="6"/>
    <s v="NÃO"/>
    <m/>
  </r>
  <r>
    <x v="0"/>
    <x v="0"/>
    <n v="1925037"/>
    <s v="NELSON APARECIDO NUNES"/>
    <s v="14 999063017 "/>
    <s v="REFRIGERADOR"/>
    <n v="1"/>
    <d v="2026-04-23T00:00:00"/>
    <d v="2026-04-24T00:00:00"/>
    <s v="18H00"/>
    <d v="2026-04-24T00:00:00"/>
    <x v="6"/>
    <s v="SIM"/>
    <m/>
  </r>
  <r>
    <x v="0"/>
    <x v="0"/>
    <n v="1924966"/>
    <s v="SANDRA BECKER BONETTE"/>
    <s v="45 988037711"/>
    <s v="REFRIGERADOR"/>
    <n v="2"/>
    <d v="2026-04-23T00:00:00"/>
    <d v="2026-04-24T00:00:00"/>
    <s v="10H30"/>
    <d v="2026-04-24T00:00:00"/>
    <x v="6"/>
    <s v="SIM"/>
    <m/>
  </r>
  <r>
    <x v="0"/>
    <x v="0"/>
    <n v="1925277"/>
    <s v="POLIANA DE JESUS GONCALVES"/>
    <s v="64 999226755"/>
    <s v="REFRIGERADOR"/>
    <n v="1"/>
    <d v="2026-04-23T00:00:00"/>
    <d v="2026-04-24T00:00:00"/>
    <s v="16H00"/>
    <d v="2026-04-24T00:00:00"/>
    <x v="6"/>
    <s v="SIM"/>
    <m/>
  </r>
  <r>
    <x v="0"/>
    <x v="0"/>
    <n v="1925056"/>
    <s v="ELEN CAMILA DE JESUS FERRAZ "/>
    <s v="16 996269241"/>
    <s v="REFRIGERADOR"/>
    <n v="1"/>
    <d v="2026-04-23T00:00:00"/>
    <d v="2026-04-24T00:00:00"/>
    <s v="10H00"/>
    <d v="2026-04-24T00:00:00"/>
    <x v="6"/>
    <s v="SIM"/>
    <m/>
  </r>
  <r>
    <x v="1"/>
    <x v="1"/>
    <n v="1925710"/>
    <s v="APARECIDA DO PATROCINIO GALDINO"/>
    <n v="14999066884"/>
    <s v="TELEVISOR"/>
    <n v="1"/>
    <d v="2026-04-27T00:00:00"/>
    <d v="2026-04-28T00:00:00"/>
    <s v="09H30"/>
    <m/>
    <x v="1"/>
    <m/>
    <m/>
  </r>
  <r>
    <x v="17"/>
    <x v="17"/>
    <n v="1919821"/>
    <s v="CLARICE APARECIDA SERPA NASCIM"/>
    <n v="27995152678"/>
    <m/>
    <n v="1"/>
    <d v="2026-04-13T00:00:00"/>
    <d v="2026-04-28T00:00:00"/>
    <s v="16H00"/>
    <m/>
    <x v="1"/>
    <m/>
    <m/>
  </r>
  <r>
    <x v="5"/>
    <x v="5"/>
    <n v="1924792"/>
    <s v=" NATALINA DE JESUS"/>
    <s v="64 992292368"/>
    <m/>
    <n v="1"/>
    <d v="2026-06-27T00:00:00"/>
    <d v="2026-04-28T00:00:00"/>
    <s v="14H30"/>
    <m/>
    <x v="1"/>
    <m/>
    <m/>
  </r>
  <r>
    <x v="5"/>
    <x v="5"/>
    <n v="1924560"/>
    <s v="ANTONIO MARTINS VIEIRA"/>
    <s v="44984164893-11 985878787"/>
    <m/>
    <n v="1"/>
    <d v="2026-06-27T00:00:00"/>
    <d v="2026-04-28T00:00:00"/>
    <s v="18H30"/>
    <m/>
    <x v="1"/>
    <m/>
    <m/>
  </r>
  <r>
    <x v="5"/>
    <x v="5"/>
    <n v="1924551"/>
    <s v="MARIA DAS MERCES SILVA"/>
    <s v="16 992161591"/>
    <s v="REFRIGERADOR"/>
    <n v="1"/>
    <d v="2026-04-24T00:00:00"/>
    <d v="2026-04-27T00:00:00"/>
    <s v="14H30"/>
    <m/>
    <x v="1"/>
    <m/>
    <m/>
  </r>
  <r>
    <x v="5"/>
    <x v="5"/>
    <n v="1924558"/>
    <s v="ROSELI ROJAS NAVARRO DA COSTA"/>
    <s v="14 981634135-14 997607822"/>
    <m/>
    <n v="1"/>
    <d v="2026-04-24T00:00:00"/>
    <d v="2026-04-27T00:00:00"/>
    <s v="15H00"/>
    <m/>
    <x v="1"/>
    <m/>
    <m/>
  </r>
  <r>
    <x v="0"/>
    <x v="0"/>
    <n v="1924970"/>
    <s v="JORGE FERREIRA DA SILVA "/>
    <s v="24  992098542"/>
    <m/>
    <n v="1"/>
    <d v="2026-04-27T00:00:00"/>
    <d v="2026-04-28T00:00:00"/>
    <s v="13H30"/>
    <m/>
    <x v="1"/>
    <m/>
    <m/>
  </r>
  <r>
    <x v="0"/>
    <x v="0"/>
    <n v="1924969"/>
    <s v="FERNANDA BARROS DIAS VASCONCELOS MARANGO"/>
    <n v="11930928482"/>
    <m/>
    <n v="1"/>
    <d v="2026-04-24T00:00:00"/>
    <d v="2026-04-30T00:00:00"/>
    <s v="09H00"/>
    <m/>
    <x v="1"/>
    <m/>
    <m/>
  </r>
  <r>
    <x v="1"/>
    <x v="1"/>
    <n v="1925616"/>
    <s v="ROSANIA SIQUEIRA ROTUNDO"/>
    <n v="17997022960"/>
    <s v="TELEVISOR"/>
    <n v="1"/>
    <d v="2026-04-27T00:00:00"/>
    <d v="2026-04-28T00:00:00"/>
    <s v="15H00"/>
    <m/>
    <x v="1"/>
    <m/>
    <m/>
  </r>
  <r>
    <x v="2"/>
    <x v="2"/>
    <n v="1926336"/>
    <s v="CARLOS SABINO DA SILVA"/>
    <n v="88992130232"/>
    <s v="TELEVISOR"/>
    <n v="1"/>
    <d v="2026-04-27T00:00:00"/>
    <d v="2026-04-28T00:00:00"/>
    <s v="19H00"/>
    <m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D91F27-0A87-48DB-B39A-BCE28546657B}" name="Tabela dinâmica1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14">
    <pivotField axis="axisPage" numFmtId="14" multipleItemSelectionAllowed="1" showAll="0">
      <items count="27">
        <item x="6"/>
        <item x="7"/>
        <item x="8"/>
        <item x="9"/>
        <item x="10"/>
        <item x="11"/>
        <item x="12"/>
        <item x="13"/>
        <item x="14"/>
        <item x="15"/>
        <item x="24"/>
        <item x="16"/>
        <item x="17"/>
        <item x="18"/>
        <item x="19"/>
        <item x="20"/>
        <item x="25"/>
        <item x="21"/>
        <item x="3"/>
        <item x="4"/>
        <item x="22"/>
        <item x="23"/>
        <item x="5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3"/>
        <item x="4"/>
        <item x="5"/>
        <item x="6"/>
        <item x="1"/>
        <item t="default"/>
      </items>
    </pivotField>
    <pivotField showAll="0"/>
    <pivotField showAll="0"/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0" hier="-1"/>
  </pageFields>
  <dataFields count="1">
    <dataField name="Contagem de SINISTRO" fld="2" subtotal="count" baseField="0" baseItem="9"/>
  </dataFields>
  <formats count="24">
    <format dxfId="121">
      <pivotArea type="all" dataOnly="0" outline="0" fieldPosition="0"/>
    </format>
    <format dxfId="120">
      <pivotArea outline="0" collapsedLevelsAreSubtotals="1" fieldPosition="0"/>
    </format>
    <format dxfId="119">
      <pivotArea field="11" type="button" dataOnly="0" labelOnly="1" outline="0" axis="axisRow" fieldPosition="0"/>
    </format>
    <format dxfId="118">
      <pivotArea dataOnly="0" labelOnly="1" fieldPosition="0">
        <references count="1">
          <reference field="11" count="0"/>
        </references>
      </pivotArea>
    </format>
    <format dxfId="117">
      <pivotArea dataOnly="0" labelOnly="1" grandRow="1" outline="0" fieldPosition="0"/>
    </format>
    <format dxfId="116">
      <pivotArea dataOnly="0" labelOnly="1" outline="0" axis="axisValues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11" type="button" dataOnly="0" labelOnly="1" outline="0" axis="axisRow" fieldPosition="0"/>
    </format>
    <format dxfId="112">
      <pivotArea dataOnly="0" labelOnly="1" fieldPosition="0">
        <references count="1">
          <reference field="11" count="0"/>
        </references>
      </pivotArea>
    </format>
    <format dxfId="111">
      <pivotArea dataOnly="0" labelOnly="1" grandRow="1" outline="0" fieldPosition="0"/>
    </format>
    <format dxfId="110">
      <pivotArea dataOnly="0" labelOnly="1" outline="0" axis="axisValues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field="11" type="button" dataOnly="0" labelOnly="1" outline="0" axis="axisRow" fieldPosition="0"/>
    </format>
    <format dxfId="106">
      <pivotArea dataOnly="0" labelOnly="1" grandRow="1" outline="0" fieldPosition="0"/>
    </format>
    <format dxfId="105">
      <pivotArea dataOnly="0" labelOnly="1" outline="0" axis="axisValues" fieldPosition="0"/>
    </format>
    <format dxfId="104">
      <pivotArea dataOnly="0" labelOnly="1" fieldPosition="0">
        <references count="1">
          <reference field="11" count="0"/>
        </references>
      </pivotArea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11" type="button" dataOnly="0" labelOnly="1" outline="0" axis="axisRow" fieldPosition="0"/>
    </format>
    <format dxfId="100">
      <pivotArea dataOnly="0" labelOnly="1" fieldPosition="0">
        <references count="1">
          <reference field="11" count="0"/>
        </references>
      </pivotArea>
    </format>
    <format dxfId="99">
      <pivotArea dataOnly="0" labelOnly="1" grandRow="1" outline="0" fieldPosition="0"/>
    </format>
    <format dxfId="9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ED436-4087-419C-8EA3-167AB742CF34}" name="Tabela dinâmica2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F3:N9" firstHeaderRow="1" firstDataRow="2" firstDataCol="1" rowPageCount="1" colPageCount="1"/>
  <pivotFields count="14">
    <pivotField axis="axisPage" numFmtId="14" multipleItemSelectionAllowed="1" showAll="0">
      <items count="27">
        <item x="6"/>
        <item x="7"/>
        <item x="8"/>
        <item x="9"/>
        <item x="10"/>
        <item x="11"/>
        <item x="12"/>
        <item x="13"/>
        <item x="14"/>
        <item x="15"/>
        <item x="24"/>
        <item x="16"/>
        <item x="17"/>
        <item x="18"/>
        <item x="19"/>
        <item x="20"/>
        <item x="25"/>
        <item x="21"/>
        <item x="3"/>
        <item x="4"/>
        <item x="22"/>
        <item x="23"/>
        <item x="5"/>
        <item x="0"/>
        <item x="1"/>
        <item x="2"/>
        <item t="default"/>
      </items>
    </pivotField>
    <pivotField axis="axisCol" showAll="0" sortType="ascending">
      <items count="27">
        <item x="2"/>
        <item x="1"/>
        <item x="0"/>
        <item x="5"/>
        <item x="23"/>
        <item x="22"/>
        <item x="4"/>
        <item x="3"/>
        <item x="21"/>
        <item x="25"/>
        <item x="20"/>
        <item x="19"/>
        <item x="18"/>
        <item x="17"/>
        <item x="16"/>
        <item x="24"/>
        <item x="15"/>
        <item x="14"/>
        <item x="13"/>
        <item x="12"/>
        <item x="11"/>
        <item x="10"/>
        <item x="9"/>
        <item x="8"/>
        <item x="7"/>
        <item x="6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8">
        <item x="0"/>
        <item x="2"/>
        <item x="3"/>
        <item h="1" x="4"/>
        <item h="1" x="5"/>
        <item h="1"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1"/>
  </rowFields>
  <rowItems count="5">
    <i>
      <x/>
    </i>
    <i>
      <x v="6"/>
    </i>
    <i>
      <x v="1"/>
    </i>
    <i>
      <x v="2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6"/>
    </i>
    <i>
      <x v="7"/>
    </i>
    <i>
      <x v="13"/>
    </i>
    <i t="grand">
      <x/>
    </i>
  </colItems>
  <pageFields count="1">
    <pageField fld="0" hier="-1"/>
  </pageFields>
  <dataFields count="1">
    <dataField name="Contagem de SINISTRO" fld="2" subtotal="count" baseField="0" baseItem="9"/>
  </dataFields>
  <formats count="25"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11" type="button" dataOnly="0" labelOnly="1" outline="0" axis="axisRow" fieldPosition="0"/>
    </format>
    <format dxfId="143">
      <pivotArea dataOnly="0" labelOnly="1" fieldPosition="0">
        <references count="1">
          <reference field="11" count="0"/>
        </references>
      </pivotArea>
    </format>
    <format dxfId="142">
      <pivotArea dataOnly="0" labelOnly="1" grandRow="1" outline="0" fieldPosition="0"/>
    </format>
    <format dxfId="141">
      <pivotArea dataOnly="0" labelOnly="1" outline="0" axis="axisValues" fieldPosition="0"/>
    </format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11" type="button" dataOnly="0" labelOnly="1" outline="0" axis="axisRow" fieldPosition="0"/>
    </format>
    <format dxfId="137">
      <pivotArea dataOnly="0" labelOnly="1" fieldPosition="0">
        <references count="1">
          <reference field="11" count="0"/>
        </references>
      </pivotArea>
    </format>
    <format dxfId="136">
      <pivotArea dataOnly="0" labelOnly="1" grandRow="1" outline="0" fieldPosition="0"/>
    </format>
    <format dxfId="135">
      <pivotArea dataOnly="0" labelOnly="1" outline="0" axis="axisValues" fieldPosition="0"/>
    </format>
    <format dxfId="134">
      <pivotArea type="all" dataOnly="0" outline="0" fieldPosition="0"/>
    </format>
    <format dxfId="133">
      <pivotArea outline="0" collapsedLevelsAreSubtotals="1" fieldPosition="0"/>
    </format>
    <format dxfId="132">
      <pivotArea field="11" type="button" dataOnly="0" labelOnly="1" outline="0" axis="axisRow" fieldPosition="0"/>
    </format>
    <format dxfId="131">
      <pivotArea dataOnly="0" labelOnly="1" grandRow="1" outline="0" fieldPosition="0"/>
    </format>
    <format dxfId="130">
      <pivotArea dataOnly="0" labelOnly="1" outline="0" axis="axisValues" fieldPosition="0"/>
    </format>
    <format dxfId="129">
      <pivotArea dataOnly="0" labelOnly="1" fieldPosition="0">
        <references count="1">
          <reference field="11" count="0"/>
        </references>
      </pivotArea>
    </format>
    <format dxfId="128">
      <pivotArea collapsedLevelsAreSubtotals="1" fieldPosition="0">
        <references count="1">
          <reference field="11" count="0"/>
        </references>
      </pivotArea>
    </format>
    <format dxfId="127">
      <pivotArea dataOnly="0" labelOnly="1" fieldPosition="0">
        <references count="1">
          <reference field="11" count="0"/>
        </references>
      </pivotArea>
    </format>
    <format dxfId="126">
      <pivotArea collapsedLevelsAreSubtotals="1" fieldPosition="0">
        <references count="1">
          <reference field="11" count="0"/>
        </references>
      </pivotArea>
    </format>
    <format dxfId="125">
      <pivotArea dataOnly="0" labelOnly="1" fieldPosition="0">
        <references count="1">
          <reference field="11" count="0"/>
        </references>
      </pivotArea>
    </format>
    <format dxfId="124">
      <pivotArea outline="0" collapsedLevelsAreSubtotals="1" fieldPosition="0"/>
    </format>
    <format dxfId="123">
      <pivotArea dataOnly="0" labelOnly="1" fieldPosition="0">
        <references count="1">
          <reference field="11" count="0"/>
        </references>
      </pivotArea>
    </format>
    <format dxfId="12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95BB-2E03-4AFE-818A-A2073A3936FE}">
  <dimension ref="A1:N11"/>
  <sheetViews>
    <sheetView zoomScale="115" zoomScaleNormal="115" workbookViewId="0">
      <selection activeCell="K19" sqref="K19"/>
    </sheetView>
  </sheetViews>
  <sheetFormatPr defaultRowHeight="14.4" x14ac:dyDescent="0.3"/>
  <cols>
    <col min="1" max="1" width="15.88671875" bestFit="1" customWidth="1"/>
    <col min="2" max="2" width="14.77734375" bestFit="1" customWidth="1"/>
    <col min="3" max="3" width="5.21875" customWidth="1"/>
    <col min="4" max="4" width="4" customWidth="1"/>
    <col min="5" max="5" width="5.6640625" customWidth="1"/>
    <col min="6" max="6" width="16.88671875" bestFit="1" customWidth="1"/>
    <col min="7" max="13" width="3.33203125" customWidth="1"/>
    <col min="14" max="14" width="8.33203125" bestFit="1" customWidth="1"/>
    <col min="15" max="15" width="4.21875" customWidth="1"/>
    <col min="16" max="16" width="8.33203125" bestFit="1" customWidth="1"/>
    <col min="17" max="19" width="2.6640625" bestFit="1" customWidth="1"/>
    <col min="20" max="20" width="8.33203125" bestFit="1" customWidth="1"/>
    <col min="21" max="23" width="2.6640625" bestFit="1" customWidth="1"/>
    <col min="24" max="24" width="11" customWidth="1"/>
  </cols>
  <sheetData>
    <row r="1" spans="1:14" x14ac:dyDescent="0.3">
      <c r="A1" s="28" t="s">
        <v>182</v>
      </c>
      <c r="B1" s="19" t="s">
        <v>489</v>
      </c>
      <c r="E1" s="17"/>
      <c r="F1" s="20" t="s">
        <v>182</v>
      </c>
      <c r="G1" s="17" t="s">
        <v>489</v>
      </c>
    </row>
    <row r="3" spans="1:14" x14ac:dyDescent="0.3">
      <c r="A3" s="28" t="s">
        <v>337</v>
      </c>
      <c r="B3" s="19" t="s">
        <v>336</v>
      </c>
      <c r="F3" s="20" t="s">
        <v>336</v>
      </c>
      <c r="G3" s="20" t="s">
        <v>339</v>
      </c>
      <c r="H3" s="17"/>
      <c r="I3" s="17"/>
      <c r="J3" s="17"/>
      <c r="K3" s="17"/>
      <c r="L3" s="17"/>
      <c r="M3" s="17"/>
      <c r="N3" s="17"/>
    </row>
    <row r="4" spans="1:14" x14ac:dyDescent="0.3">
      <c r="A4" s="27" t="s">
        <v>237</v>
      </c>
      <c r="B4" s="22">
        <v>18</v>
      </c>
      <c r="F4" s="20" t="s">
        <v>337</v>
      </c>
      <c r="G4" s="17">
        <v>1</v>
      </c>
      <c r="H4" s="17">
        <v>4</v>
      </c>
      <c r="I4" s="17">
        <v>5</v>
      </c>
      <c r="J4" s="17">
        <v>6</v>
      </c>
      <c r="K4" s="17">
        <v>12</v>
      </c>
      <c r="L4" s="17">
        <v>13</v>
      </c>
      <c r="M4" s="17">
        <v>21</v>
      </c>
      <c r="N4" s="17" t="s">
        <v>338</v>
      </c>
    </row>
    <row r="5" spans="1:14" x14ac:dyDescent="0.3">
      <c r="A5" s="27" t="s">
        <v>78</v>
      </c>
      <c r="B5" s="22">
        <v>5</v>
      </c>
      <c r="F5" s="19" t="s">
        <v>237</v>
      </c>
      <c r="G5" s="22">
        <v>8</v>
      </c>
      <c r="H5" s="22">
        <v>7</v>
      </c>
      <c r="I5" s="22">
        <v>3</v>
      </c>
      <c r="J5" s="22"/>
      <c r="K5" s="22"/>
      <c r="L5" s="22"/>
      <c r="M5" s="22"/>
      <c r="N5" s="22">
        <v>18</v>
      </c>
    </row>
    <row r="6" spans="1:14" x14ac:dyDescent="0.3">
      <c r="A6" s="27" t="s">
        <v>299</v>
      </c>
      <c r="B6" s="22">
        <v>1</v>
      </c>
      <c r="F6" s="19" t="s">
        <v>146</v>
      </c>
      <c r="G6" s="22">
        <v>1</v>
      </c>
      <c r="H6" s="22">
        <v>3</v>
      </c>
      <c r="I6" s="22">
        <v>2</v>
      </c>
      <c r="J6" s="22">
        <v>4</v>
      </c>
      <c r="K6" s="22"/>
      <c r="L6" s="22"/>
      <c r="M6" s="22">
        <v>1</v>
      </c>
      <c r="N6" s="22">
        <v>11</v>
      </c>
    </row>
    <row r="7" spans="1:14" x14ac:dyDescent="0.3">
      <c r="A7" s="27" t="s">
        <v>184</v>
      </c>
      <c r="B7" s="22">
        <v>56</v>
      </c>
      <c r="F7" s="19" t="s">
        <v>78</v>
      </c>
      <c r="G7" s="22">
        <v>1</v>
      </c>
      <c r="H7" s="22"/>
      <c r="I7" s="22">
        <v>1</v>
      </c>
      <c r="J7" s="22"/>
      <c r="K7" s="22">
        <v>2</v>
      </c>
      <c r="L7" s="22">
        <v>1</v>
      </c>
      <c r="M7" s="22"/>
      <c r="N7" s="22">
        <v>5</v>
      </c>
    </row>
    <row r="8" spans="1:14" x14ac:dyDescent="0.3">
      <c r="A8" s="27" t="s">
        <v>262</v>
      </c>
      <c r="B8" s="22">
        <v>28</v>
      </c>
      <c r="F8" s="19" t="s">
        <v>299</v>
      </c>
      <c r="G8" s="22"/>
      <c r="H8" s="22"/>
      <c r="I8" s="22"/>
      <c r="J8" s="22">
        <v>1</v>
      </c>
      <c r="K8" s="22"/>
      <c r="L8" s="22"/>
      <c r="M8" s="22"/>
      <c r="N8" s="22">
        <v>1</v>
      </c>
    </row>
    <row r="9" spans="1:14" x14ac:dyDescent="0.3">
      <c r="A9" s="27" t="s">
        <v>60</v>
      </c>
      <c r="B9" s="22">
        <v>181</v>
      </c>
      <c r="F9" s="19" t="s">
        <v>338</v>
      </c>
      <c r="G9" s="22">
        <v>10</v>
      </c>
      <c r="H9" s="22">
        <v>10</v>
      </c>
      <c r="I9" s="22">
        <v>6</v>
      </c>
      <c r="J9" s="22">
        <v>5</v>
      </c>
      <c r="K9" s="22">
        <v>2</v>
      </c>
      <c r="L9" s="22">
        <v>1</v>
      </c>
      <c r="M9" s="22">
        <v>1</v>
      </c>
      <c r="N9" s="22">
        <v>35</v>
      </c>
    </row>
    <row r="10" spans="1:14" x14ac:dyDescent="0.3">
      <c r="A10" s="27" t="s">
        <v>146</v>
      </c>
      <c r="B10" s="22">
        <v>11</v>
      </c>
    </row>
    <row r="11" spans="1:14" x14ac:dyDescent="0.3">
      <c r="A11" s="19" t="s">
        <v>338</v>
      </c>
      <c r="B11" s="22">
        <v>300</v>
      </c>
    </row>
  </sheetData>
  <pageMargins left="0.511811024" right="0.511811024" top="0.78740157499999996" bottom="0.78740157499999996" header="0.31496062000000002" footer="0.31496062000000002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5176-FBDF-4CF1-935E-DDE8B7A61AD3}">
  <dimension ref="A1:N302"/>
  <sheetViews>
    <sheetView tabSelected="1" zoomScale="85" zoomScaleNormal="85" workbookViewId="0">
      <selection activeCell="H24" sqref="H24"/>
    </sheetView>
  </sheetViews>
  <sheetFormatPr defaultRowHeight="14.4" x14ac:dyDescent="0.3"/>
  <cols>
    <col min="1" max="1" width="12.77734375" style="2" customWidth="1"/>
    <col min="2" max="2" width="10.33203125" style="2" customWidth="1"/>
    <col min="3" max="3" width="13.77734375" style="1" customWidth="1"/>
    <col min="4" max="4" width="39.44140625" style="14" customWidth="1"/>
    <col min="5" max="5" width="24" style="2" bestFit="1" customWidth="1"/>
    <col min="6" max="6" width="36.44140625" style="2" bestFit="1" customWidth="1"/>
    <col min="7" max="7" width="14.44140625" style="2" customWidth="1"/>
    <col min="8" max="8" width="20" style="2" customWidth="1"/>
    <col min="9" max="9" width="20.6640625" style="2" bestFit="1" customWidth="1"/>
    <col min="10" max="10" width="12.33203125" style="2" customWidth="1"/>
    <col min="11" max="11" width="24.21875" style="2" bestFit="1" customWidth="1"/>
    <col min="12" max="12" width="20.44140625" style="2" customWidth="1"/>
    <col min="13" max="13" width="18.109375" style="2" bestFit="1" customWidth="1"/>
    <col min="14" max="14" width="76.6640625" style="32" bestFit="1" customWidth="1"/>
    <col min="15" max="16384" width="8.88671875" style="11"/>
  </cols>
  <sheetData>
    <row r="1" spans="1:14" x14ac:dyDescent="0.3">
      <c r="A1" s="24" t="s">
        <v>182</v>
      </c>
      <c r="B1" s="24" t="s">
        <v>195</v>
      </c>
      <c r="C1" s="25" t="s">
        <v>181</v>
      </c>
      <c r="D1" s="33" t="s">
        <v>183</v>
      </c>
      <c r="E1" s="24" t="s">
        <v>188</v>
      </c>
      <c r="F1" s="24" t="s">
        <v>180</v>
      </c>
      <c r="G1" s="24" t="s">
        <v>258</v>
      </c>
      <c r="H1" s="24" t="s">
        <v>179</v>
      </c>
      <c r="I1" s="24" t="s">
        <v>178</v>
      </c>
      <c r="J1" s="24" t="s">
        <v>177</v>
      </c>
      <c r="K1" s="24" t="s">
        <v>189</v>
      </c>
      <c r="L1" s="24" t="s">
        <v>176</v>
      </c>
      <c r="M1" s="26" t="s">
        <v>192</v>
      </c>
      <c r="N1" s="15" t="s">
        <v>241</v>
      </c>
    </row>
    <row r="2" spans="1:14" s="12" customFormat="1" ht="12" x14ac:dyDescent="0.25">
      <c r="A2" s="5">
        <v>46135</v>
      </c>
      <c r="B2" s="10">
        <f ca="1">TODAY()-A2</f>
        <v>5</v>
      </c>
      <c r="C2" s="6">
        <v>1925266</v>
      </c>
      <c r="D2" s="13" t="s">
        <v>496</v>
      </c>
      <c r="E2" s="6" t="s">
        <v>504</v>
      </c>
      <c r="F2" s="31"/>
      <c r="G2" s="31">
        <v>1</v>
      </c>
      <c r="H2" s="5"/>
      <c r="I2" s="5"/>
      <c r="J2" s="6"/>
      <c r="K2" s="5"/>
      <c r="L2" s="7" t="s">
        <v>237</v>
      </c>
      <c r="M2" s="7"/>
      <c r="N2" s="6"/>
    </row>
    <row r="3" spans="1:14" s="12" customFormat="1" ht="12" x14ac:dyDescent="0.25">
      <c r="A3" s="5">
        <v>46135</v>
      </c>
      <c r="B3" s="10">
        <f ca="1">TODAY()-A3</f>
        <v>5</v>
      </c>
      <c r="C3" s="6">
        <v>1925261</v>
      </c>
      <c r="D3" s="13" t="s">
        <v>497</v>
      </c>
      <c r="E3" s="6">
        <v>169888679163</v>
      </c>
      <c r="F3" s="6"/>
      <c r="G3" s="6">
        <v>1</v>
      </c>
      <c r="H3" s="5"/>
      <c r="I3" s="5"/>
      <c r="J3" s="6"/>
      <c r="K3" s="5"/>
      <c r="L3" s="7" t="s">
        <v>237</v>
      </c>
      <c r="M3" s="7"/>
      <c r="N3" s="6"/>
    </row>
    <row r="4" spans="1:14" s="12" customFormat="1" ht="12" x14ac:dyDescent="0.25">
      <c r="A4" s="5">
        <v>46135</v>
      </c>
      <c r="B4" s="10">
        <f ca="1">TODAY()-A4</f>
        <v>5</v>
      </c>
      <c r="C4" s="6">
        <v>1924960</v>
      </c>
      <c r="D4" s="13" t="s">
        <v>498</v>
      </c>
      <c r="E4" s="6" t="s">
        <v>506</v>
      </c>
      <c r="F4" s="6"/>
      <c r="G4" s="6">
        <v>1</v>
      </c>
      <c r="H4" s="5"/>
      <c r="I4" s="5"/>
      <c r="J4" s="6"/>
      <c r="K4" s="5"/>
      <c r="L4" s="7" t="s">
        <v>237</v>
      </c>
      <c r="M4" s="7"/>
      <c r="N4" s="6"/>
    </row>
    <row r="5" spans="1:14" s="12" customFormat="1" ht="12" x14ac:dyDescent="0.25">
      <c r="A5" s="5">
        <v>46136</v>
      </c>
      <c r="B5" s="10">
        <f ca="1">TODAY()-A5</f>
        <v>4</v>
      </c>
      <c r="C5" s="10">
        <v>1925613</v>
      </c>
      <c r="D5" s="38" t="s">
        <v>513</v>
      </c>
      <c r="E5" s="6">
        <v>44999001641</v>
      </c>
      <c r="F5" s="6" t="s">
        <v>185</v>
      </c>
      <c r="G5" s="6">
        <v>1</v>
      </c>
      <c r="H5" s="6"/>
      <c r="I5" s="6"/>
      <c r="J5" s="5"/>
      <c r="K5" s="5"/>
      <c r="L5" s="7" t="s">
        <v>237</v>
      </c>
      <c r="M5" s="5"/>
      <c r="N5" s="7"/>
    </row>
    <row r="6" spans="1:14" s="12" customFormat="1" ht="12" x14ac:dyDescent="0.25">
      <c r="A6" s="5">
        <v>46136</v>
      </c>
      <c r="B6" s="10">
        <f ca="1">TODAY()-A6</f>
        <v>4</v>
      </c>
      <c r="C6" s="10">
        <v>1925619</v>
      </c>
      <c r="D6" s="38" t="s">
        <v>516</v>
      </c>
      <c r="E6" s="6">
        <v>48996289462</v>
      </c>
      <c r="F6" s="6" t="s">
        <v>517</v>
      </c>
      <c r="G6" s="6">
        <v>1</v>
      </c>
      <c r="H6" s="6"/>
      <c r="I6" s="6"/>
      <c r="J6" s="5"/>
      <c r="K6" s="5"/>
      <c r="L6" s="7" t="s">
        <v>237</v>
      </c>
      <c r="M6" s="5"/>
      <c r="N6" s="7"/>
    </row>
    <row r="7" spans="1:14" s="12" customFormat="1" ht="12" x14ac:dyDescent="0.25">
      <c r="A7" s="5">
        <v>46136</v>
      </c>
      <c r="B7" s="10">
        <f ca="1">TODAY()-A7</f>
        <v>4</v>
      </c>
      <c r="C7" s="10">
        <v>1925711</v>
      </c>
      <c r="D7" s="38" t="s">
        <v>521</v>
      </c>
      <c r="E7" s="6">
        <v>49989099386</v>
      </c>
      <c r="F7" s="6" t="s">
        <v>196</v>
      </c>
      <c r="G7" s="6">
        <v>1</v>
      </c>
      <c r="H7" s="6"/>
      <c r="I7" s="6"/>
      <c r="J7" s="5"/>
      <c r="K7" s="5"/>
      <c r="L7" s="7" t="s">
        <v>237</v>
      </c>
      <c r="M7" s="5"/>
      <c r="N7" s="7"/>
    </row>
    <row r="8" spans="1:14" s="12" customFormat="1" ht="12" x14ac:dyDescent="0.25">
      <c r="A8" s="5">
        <v>46136</v>
      </c>
      <c r="B8" s="10">
        <f ca="1">TODAY()-A8</f>
        <v>4</v>
      </c>
      <c r="C8" s="10">
        <v>1925715</v>
      </c>
      <c r="D8" s="38" t="s">
        <v>522</v>
      </c>
      <c r="E8" s="6">
        <v>34999961816</v>
      </c>
      <c r="F8" s="6"/>
      <c r="G8" s="6">
        <v>1</v>
      </c>
      <c r="H8" s="6"/>
      <c r="I8" s="6"/>
      <c r="J8" s="5"/>
      <c r="K8" s="5"/>
      <c r="L8" s="7" t="s">
        <v>237</v>
      </c>
      <c r="M8" s="5"/>
      <c r="N8" s="7"/>
    </row>
    <row r="9" spans="1:14" s="12" customFormat="1" ht="12" x14ac:dyDescent="0.25">
      <c r="A9" s="5">
        <v>46136</v>
      </c>
      <c r="B9" s="10">
        <f ca="1">TODAY()-A9</f>
        <v>4</v>
      </c>
      <c r="C9" s="10">
        <v>1925718</v>
      </c>
      <c r="D9" s="38" t="s">
        <v>523</v>
      </c>
      <c r="E9" s="6">
        <v>19981631602</v>
      </c>
      <c r="F9" s="6" t="s">
        <v>196</v>
      </c>
      <c r="G9" s="6">
        <v>1</v>
      </c>
      <c r="H9" s="6"/>
      <c r="I9" s="6"/>
      <c r="J9" s="5"/>
      <c r="K9" s="5"/>
      <c r="L9" s="7" t="s">
        <v>237</v>
      </c>
      <c r="M9" s="5"/>
      <c r="N9" s="7"/>
    </row>
    <row r="10" spans="1:14" s="12" customFormat="1" ht="12" x14ac:dyDescent="0.25">
      <c r="A10" s="5">
        <v>46136</v>
      </c>
      <c r="B10" s="10">
        <f ca="1">TODAY()-A10</f>
        <v>4</v>
      </c>
      <c r="C10" s="10">
        <v>1925719</v>
      </c>
      <c r="D10" s="38" t="s">
        <v>524</v>
      </c>
      <c r="E10" s="6">
        <v>81973321582</v>
      </c>
      <c r="F10" s="6" t="s">
        <v>196</v>
      </c>
      <c r="G10" s="6">
        <v>1</v>
      </c>
      <c r="H10" s="6"/>
      <c r="I10" s="6"/>
      <c r="J10" s="5"/>
      <c r="K10" s="5"/>
      <c r="L10" s="7" t="s">
        <v>237</v>
      </c>
      <c r="M10" s="5"/>
      <c r="N10" s="7"/>
    </row>
    <row r="11" spans="1:14" s="12" customFormat="1" ht="12" x14ac:dyDescent="0.25">
      <c r="A11" s="5">
        <v>46136</v>
      </c>
      <c r="B11" s="10">
        <f ca="1">TODAY()-A11</f>
        <v>4</v>
      </c>
      <c r="C11" s="10">
        <v>1925723</v>
      </c>
      <c r="D11" s="38" t="s">
        <v>525</v>
      </c>
      <c r="E11" s="6">
        <v>24998469407</v>
      </c>
      <c r="F11" s="6" t="s">
        <v>196</v>
      </c>
      <c r="G11" s="6">
        <v>1</v>
      </c>
      <c r="H11" s="6"/>
      <c r="I11" s="6"/>
      <c r="J11" s="5"/>
      <c r="K11" s="5"/>
      <c r="L11" s="7" t="s">
        <v>237</v>
      </c>
      <c r="M11" s="5"/>
      <c r="N11" s="7"/>
    </row>
    <row r="12" spans="1:14" s="12" customFormat="1" ht="12" x14ac:dyDescent="0.25">
      <c r="A12" s="5">
        <v>46139</v>
      </c>
      <c r="B12" s="10">
        <v>1</v>
      </c>
      <c r="C12" s="10">
        <v>1926499</v>
      </c>
      <c r="D12" s="38" t="s">
        <v>527</v>
      </c>
      <c r="E12" s="6" t="s">
        <v>528</v>
      </c>
      <c r="F12" s="6" t="s">
        <v>196</v>
      </c>
      <c r="G12" s="6">
        <v>1</v>
      </c>
      <c r="H12" s="6"/>
      <c r="I12" s="6"/>
      <c r="J12" s="5"/>
      <c r="K12" s="5"/>
      <c r="L12" s="7" t="s">
        <v>237</v>
      </c>
      <c r="M12" s="5"/>
      <c r="N12" s="7"/>
    </row>
    <row r="13" spans="1:14" s="12" customFormat="1" ht="12" x14ac:dyDescent="0.25">
      <c r="A13" s="5">
        <v>46139</v>
      </c>
      <c r="B13" s="10">
        <v>1</v>
      </c>
      <c r="C13" s="10">
        <v>1926335</v>
      </c>
      <c r="D13" s="38" t="s">
        <v>531</v>
      </c>
      <c r="E13" s="6" t="s">
        <v>532</v>
      </c>
      <c r="F13" s="6" t="s">
        <v>185</v>
      </c>
      <c r="G13" s="6">
        <v>1</v>
      </c>
      <c r="H13" s="5">
        <v>46139</v>
      </c>
      <c r="I13" s="5">
        <v>46140</v>
      </c>
      <c r="J13" s="5" t="s">
        <v>149</v>
      </c>
      <c r="K13" s="5"/>
      <c r="L13" s="7" t="s">
        <v>237</v>
      </c>
      <c r="M13" s="5"/>
      <c r="N13" s="7"/>
    </row>
    <row r="14" spans="1:14" s="12" customFormat="1" ht="12" x14ac:dyDescent="0.25">
      <c r="A14" s="5">
        <v>46139</v>
      </c>
      <c r="B14" s="10">
        <v>1</v>
      </c>
      <c r="C14" s="10">
        <v>1926322</v>
      </c>
      <c r="D14" s="38" t="s">
        <v>533</v>
      </c>
      <c r="E14" s="6">
        <v>33999268070</v>
      </c>
      <c r="F14" s="6" t="s">
        <v>196</v>
      </c>
      <c r="G14" s="6">
        <v>1</v>
      </c>
      <c r="H14" s="6"/>
      <c r="I14" s="6"/>
      <c r="J14" s="5"/>
      <c r="K14" s="5"/>
      <c r="L14" s="7" t="s">
        <v>237</v>
      </c>
      <c r="M14" s="5"/>
      <c r="N14" s="7"/>
    </row>
    <row r="15" spans="1:14" s="12" customFormat="1" ht="12" x14ac:dyDescent="0.25">
      <c r="A15" s="5">
        <v>46139</v>
      </c>
      <c r="B15" s="10">
        <v>1</v>
      </c>
      <c r="C15" s="10">
        <v>1926321</v>
      </c>
      <c r="D15" s="38" t="s">
        <v>534</v>
      </c>
      <c r="E15" s="6">
        <v>18996172880</v>
      </c>
      <c r="F15" s="6" t="s">
        <v>196</v>
      </c>
      <c r="G15" s="6">
        <v>1</v>
      </c>
      <c r="H15" s="6"/>
      <c r="I15" s="6"/>
      <c r="J15" s="5"/>
      <c r="K15" s="5"/>
      <c r="L15" s="7" t="s">
        <v>237</v>
      </c>
      <c r="M15" s="5"/>
      <c r="N15" s="7"/>
    </row>
    <row r="16" spans="1:14" s="12" customFormat="1" ht="12" x14ac:dyDescent="0.25">
      <c r="A16" s="5">
        <v>46139</v>
      </c>
      <c r="B16" s="10">
        <v>1</v>
      </c>
      <c r="C16" s="10">
        <v>1926182</v>
      </c>
      <c r="D16" s="38" t="s">
        <v>535</v>
      </c>
      <c r="E16" s="6">
        <v>21994922114</v>
      </c>
      <c r="F16" s="6" t="s">
        <v>196</v>
      </c>
      <c r="G16" s="6">
        <v>1</v>
      </c>
      <c r="H16" s="6"/>
      <c r="I16" s="6"/>
      <c r="J16" s="5"/>
      <c r="K16" s="5"/>
      <c r="L16" s="7" t="s">
        <v>237</v>
      </c>
      <c r="M16" s="5"/>
      <c r="N16" s="7"/>
    </row>
    <row r="17" spans="1:14" s="12" customFormat="1" ht="12" x14ac:dyDescent="0.25">
      <c r="A17" s="5">
        <v>46139</v>
      </c>
      <c r="B17" s="10">
        <v>1</v>
      </c>
      <c r="C17" s="10">
        <v>1926100</v>
      </c>
      <c r="D17" s="38" t="s">
        <v>537</v>
      </c>
      <c r="E17" s="6">
        <v>43996566024</v>
      </c>
      <c r="F17" s="6" t="s">
        <v>187</v>
      </c>
      <c r="G17" s="6">
        <v>1</v>
      </c>
      <c r="H17" s="6"/>
      <c r="I17" s="6"/>
      <c r="J17" s="5"/>
      <c r="K17" s="5"/>
      <c r="L17" s="7" t="s">
        <v>237</v>
      </c>
      <c r="M17" s="5"/>
      <c r="N17" s="7"/>
    </row>
    <row r="18" spans="1:14" s="12" customFormat="1" ht="12" x14ac:dyDescent="0.25">
      <c r="A18" s="5">
        <v>46139</v>
      </c>
      <c r="B18" s="10">
        <v>1</v>
      </c>
      <c r="C18" s="10">
        <v>1926108</v>
      </c>
      <c r="D18" s="38" t="s">
        <v>536</v>
      </c>
      <c r="E18" s="6">
        <v>61993982324</v>
      </c>
      <c r="F18" s="6" t="s">
        <v>196</v>
      </c>
      <c r="G18" s="6">
        <v>1</v>
      </c>
      <c r="H18" s="5">
        <v>46139</v>
      </c>
      <c r="I18" s="5">
        <v>46139</v>
      </c>
      <c r="J18" s="5" t="s">
        <v>166</v>
      </c>
      <c r="K18" s="5"/>
      <c r="L18" s="7" t="s">
        <v>78</v>
      </c>
      <c r="M18" s="5"/>
      <c r="N18" s="7"/>
    </row>
    <row r="19" spans="1:14" s="12" customFormat="1" ht="12" x14ac:dyDescent="0.25">
      <c r="A19" s="5">
        <v>46127</v>
      </c>
      <c r="B19" s="10">
        <f ca="1">TODAY()-A19</f>
        <v>13</v>
      </c>
      <c r="C19" s="6">
        <v>1922607</v>
      </c>
      <c r="D19" s="13" t="s">
        <v>375</v>
      </c>
      <c r="E19" s="6" t="s">
        <v>376</v>
      </c>
      <c r="F19" s="6" t="s">
        <v>185</v>
      </c>
      <c r="G19" s="6">
        <v>1</v>
      </c>
      <c r="H19" s="5">
        <v>46132</v>
      </c>
      <c r="I19" s="5">
        <v>46132</v>
      </c>
      <c r="J19" s="6" t="s">
        <v>467</v>
      </c>
      <c r="K19" s="6"/>
      <c r="L19" s="7" t="s">
        <v>78</v>
      </c>
      <c r="M19" s="7"/>
      <c r="N19" s="6"/>
    </row>
    <row r="20" spans="1:14" s="12" customFormat="1" ht="12" x14ac:dyDescent="0.25">
      <c r="A20" s="5">
        <v>46128</v>
      </c>
      <c r="B20" s="10">
        <f ca="1">TODAY()-A20</f>
        <v>12</v>
      </c>
      <c r="C20" s="6">
        <v>1923162</v>
      </c>
      <c r="D20" s="13" t="s">
        <v>398</v>
      </c>
      <c r="E20" s="6">
        <v>18991214282</v>
      </c>
      <c r="F20" s="6" t="s">
        <v>399</v>
      </c>
      <c r="G20" s="6">
        <v>2</v>
      </c>
      <c r="H20" s="5">
        <v>46128</v>
      </c>
      <c r="I20" s="5">
        <v>46136</v>
      </c>
      <c r="J20" s="6" t="s">
        <v>343</v>
      </c>
      <c r="K20" s="5"/>
      <c r="L20" s="7" t="s">
        <v>78</v>
      </c>
      <c r="M20" s="7"/>
      <c r="N20" s="6" t="s">
        <v>432</v>
      </c>
    </row>
    <row r="21" spans="1:14" s="12" customFormat="1" ht="12" x14ac:dyDescent="0.25">
      <c r="A21" s="5">
        <v>46135</v>
      </c>
      <c r="B21" s="10">
        <f ca="1">TODAY()-A21</f>
        <v>5</v>
      </c>
      <c r="C21" s="6">
        <v>1924958</v>
      </c>
      <c r="D21" s="13" t="s">
        <v>499</v>
      </c>
      <c r="E21" s="6" t="s">
        <v>507</v>
      </c>
      <c r="F21" s="6"/>
      <c r="G21" s="6">
        <v>1</v>
      </c>
      <c r="H21" s="5">
        <v>46135</v>
      </c>
      <c r="I21" s="5">
        <v>46136</v>
      </c>
      <c r="J21" s="6" t="s">
        <v>317</v>
      </c>
      <c r="K21" s="5"/>
      <c r="L21" s="7" t="s">
        <v>78</v>
      </c>
      <c r="M21" s="7"/>
      <c r="N21" s="6"/>
    </row>
    <row r="22" spans="1:14" s="12" customFormat="1" ht="12" x14ac:dyDescent="0.25">
      <c r="A22" s="5">
        <v>46128</v>
      </c>
      <c r="B22" s="10">
        <f ca="1">TODAY()-A22</f>
        <v>12</v>
      </c>
      <c r="C22" s="6">
        <v>1923361</v>
      </c>
      <c r="D22" s="13" t="s">
        <v>397</v>
      </c>
      <c r="E22" s="6">
        <v>16988544088</v>
      </c>
      <c r="F22" s="6"/>
      <c r="G22" s="6">
        <v>1</v>
      </c>
      <c r="H22" s="5">
        <v>46139</v>
      </c>
      <c r="I22" s="5">
        <v>46139</v>
      </c>
      <c r="J22" s="6" t="s">
        <v>244</v>
      </c>
      <c r="K22" s="5">
        <v>46132</v>
      </c>
      <c r="L22" s="7" t="s">
        <v>78</v>
      </c>
      <c r="M22" s="7" t="s">
        <v>197</v>
      </c>
      <c r="N22" s="6" t="s">
        <v>197</v>
      </c>
    </row>
    <row r="23" spans="1:14" s="12" customFormat="1" ht="12" x14ac:dyDescent="0.25">
      <c r="A23" s="5">
        <v>46134</v>
      </c>
      <c r="B23" s="10">
        <f ca="1">TODAY()-A23</f>
        <v>6</v>
      </c>
      <c r="C23" s="6">
        <v>1924525</v>
      </c>
      <c r="D23" s="13" t="s">
        <v>478</v>
      </c>
      <c r="E23" s="6" t="s">
        <v>484</v>
      </c>
      <c r="F23" s="6" t="s">
        <v>185</v>
      </c>
      <c r="G23" s="6">
        <v>1</v>
      </c>
      <c r="H23" s="5">
        <v>46135</v>
      </c>
      <c r="I23" s="5">
        <v>46136</v>
      </c>
      <c r="J23" s="6" t="s">
        <v>155</v>
      </c>
      <c r="K23" s="5"/>
      <c r="L23" s="7" t="s">
        <v>299</v>
      </c>
      <c r="M23" s="7"/>
      <c r="N23" s="6"/>
    </row>
    <row r="24" spans="1:14" s="12" customFormat="1" ht="12" x14ac:dyDescent="0.25">
      <c r="A24" s="5">
        <v>46083</v>
      </c>
      <c r="B24" s="10">
        <f ca="1">TODAY()-A24</f>
        <v>57</v>
      </c>
      <c r="C24" s="6">
        <v>1906858</v>
      </c>
      <c r="D24" s="13" t="s">
        <v>2</v>
      </c>
      <c r="E24" s="6">
        <v>14991927678</v>
      </c>
      <c r="F24" s="6" t="s">
        <v>197</v>
      </c>
      <c r="G24" s="6">
        <v>1</v>
      </c>
      <c r="H24" s="6" t="s">
        <v>197</v>
      </c>
      <c r="I24" s="6" t="s">
        <v>197</v>
      </c>
      <c r="J24" s="6" t="s">
        <v>197</v>
      </c>
      <c r="K24" s="5">
        <v>46096</v>
      </c>
      <c r="L24" s="7" t="s">
        <v>184</v>
      </c>
      <c r="M24" s="7" t="s">
        <v>197</v>
      </c>
      <c r="N24" s="6" t="s">
        <v>197</v>
      </c>
    </row>
    <row r="25" spans="1:14" s="12" customFormat="1" ht="12" x14ac:dyDescent="0.25">
      <c r="A25" s="5">
        <v>46083</v>
      </c>
      <c r="B25" s="10">
        <f ca="1">TODAY()-A25</f>
        <v>57</v>
      </c>
      <c r="C25" s="6">
        <v>1906908</v>
      </c>
      <c r="D25" s="13" t="s">
        <v>4</v>
      </c>
      <c r="E25" s="6">
        <v>51981018294</v>
      </c>
      <c r="F25" s="6" t="s">
        <v>197</v>
      </c>
      <c r="G25" s="6">
        <v>1</v>
      </c>
      <c r="H25" s="6" t="s">
        <v>197</v>
      </c>
      <c r="I25" s="6" t="s">
        <v>197</v>
      </c>
      <c r="J25" s="6" t="s">
        <v>197</v>
      </c>
      <c r="K25" s="5">
        <v>46096</v>
      </c>
      <c r="L25" s="7" t="s">
        <v>184</v>
      </c>
      <c r="M25" s="7" t="s">
        <v>197</v>
      </c>
      <c r="N25" s="6" t="s">
        <v>197</v>
      </c>
    </row>
    <row r="26" spans="1:14" s="12" customFormat="1" ht="12" x14ac:dyDescent="0.25">
      <c r="A26" s="5">
        <v>46084</v>
      </c>
      <c r="B26" s="10">
        <f ca="1">TODAY()-A26</f>
        <v>56</v>
      </c>
      <c r="C26" s="6">
        <v>1907530</v>
      </c>
      <c r="D26" s="13" t="s">
        <v>12</v>
      </c>
      <c r="E26" s="6">
        <v>11984768787</v>
      </c>
      <c r="F26" s="6"/>
      <c r="G26" s="6"/>
      <c r="H26" s="6"/>
      <c r="I26" s="6"/>
      <c r="J26" s="6"/>
      <c r="K26" s="5">
        <v>46105</v>
      </c>
      <c r="L26" s="7" t="s">
        <v>184</v>
      </c>
      <c r="M26" s="7"/>
      <c r="N26" s="6"/>
    </row>
    <row r="27" spans="1:14" s="12" customFormat="1" ht="12" x14ac:dyDescent="0.25">
      <c r="A27" s="5">
        <v>46085</v>
      </c>
      <c r="B27" s="10">
        <f ca="1">TODAY()-A27</f>
        <v>55</v>
      </c>
      <c r="C27" s="6">
        <v>1907427</v>
      </c>
      <c r="D27" s="13" t="s">
        <v>26</v>
      </c>
      <c r="E27" s="6">
        <v>18991277896</v>
      </c>
      <c r="F27" s="6" t="s">
        <v>197</v>
      </c>
      <c r="G27" s="6">
        <v>1</v>
      </c>
      <c r="H27" s="6" t="s">
        <v>197</v>
      </c>
      <c r="I27" s="6" t="s">
        <v>197</v>
      </c>
      <c r="J27" s="6" t="s">
        <v>197</v>
      </c>
      <c r="K27" s="5">
        <v>46095</v>
      </c>
      <c r="L27" s="7" t="s">
        <v>184</v>
      </c>
      <c r="M27" s="7" t="s">
        <v>197</v>
      </c>
      <c r="N27" s="6" t="s">
        <v>197</v>
      </c>
    </row>
    <row r="28" spans="1:14" s="12" customFormat="1" ht="12" x14ac:dyDescent="0.25">
      <c r="A28" s="5">
        <v>46085</v>
      </c>
      <c r="B28" s="10">
        <f ca="1">TODAY()-A28</f>
        <v>55</v>
      </c>
      <c r="C28" s="6">
        <v>1907674</v>
      </c>
      <c r="D28" s="13" t="s">
        <v>21</v>
      </c>
      <c r="E28" s="6">
        <v>11988956888</v>
      </c>
      <c r="F28" s="6" t="s">
        <v>197</v>
      </c>
      <c r="G28" s="6">
        <v>1</v>
      </c>
      <c r="H28" s="6" t="s">
        <v>197</v>
      </c>
      <c r="I28" s="6" t="s">
        <v>197</v>
      </c>
      <c r="J28" s="6" t="s">
        <v>197</v>
      </c>
      <c r="K28" s="5">
        <v>46096</v>
      </c>
      <c r="L28" s="7" t="s">
        <v>184</v>
      </c>
      <c r="M28" s="7" t="s">
        <v>197</v>
      </c>
      <c r="N28" s="6" t="s">
        <v>197</v>
      </c>
    </row>
    <row r="29" spans="1:14" s="12" customFormat="1" ht="12" x14ac:dyDescent="0.25">
      <c r="A29" s="5">
        <v>46085</v>
      </c>
      <c r="B29" s="10">
        <f ca="1">TODAY()-A29</f>
        <v>55</v>
      </c>
      <c r="C29" s="6">
        <v>1907438</v>
      </c>
      <c r="D29" s="13" t="s">
        <v>28</v>
      </c>
      <c r="E29" s="6">
        <v>16999986947</v>
      </c>
      <c r="F29" s="6" t="s">
        <v>197</v>
      </c>
      <c r="G29" s="6" t="s">
        <v>197</v>
      </c>
      <c r="H29" s="6" t="s">
        <v>197</v>
      </c>
      <c r="I29" s="6" t="s">
        <v>197</v>
      </c>
      <c r="J29" s="6" t="s">
        <v>197</v>
      </c>
      <c r="K29" s="5">
        <v>46105</v>
      </c>
      <c r="L29" s="7" t="s">
        <v>184</v>
      </c>
      <c r="M29" s="7" t="s">
        <v>197</v>
      </c>
      <c r="N29" s="6" t="s">
        <v>197</v>
      </c>
    </row>
    <row r="30" spans="1:14" s="12" customFormat="1" ht="12" x14ac:dyDescent="0.25">
      <c r="A30" s="5">
        <v>46086</v>
      </c>
      <c r="B30" s="10">
        <f ca="1">TODAY()-A30</f>
        <v>54</v>
      </c>
      <c r="C30" s="6">
        <v>1908403</v>
      </c>
      <c r="D30" s="13" t="s">
        <v>40</v>
      </c>
      <c r="E30" s="6">
        <v>18991516667</v>
      </c>
      <c r="F30" s="6" t="s">
        <v>197</v>
      </c>
      <c r="G30" s="6">
        <v>1</v>
      </c>
      <c r="H30" s="6" t="s">
        <v>197</v>
      </c>
      <c r="I30" s="6" t="s">
        <v>197</v>
      </c>
      <c r="J30" s="6" t="s">
        <v>197</v>
      </c>
      <c r="K30" s="5">
        <v>46095</v>
      </c>
      <c r="L30" s="7" t="s">
        <v>184</v>
      </c>
      <c r="M30" s="7" t="s">
        <v>197</v>
      </c>
      <c r="N30" s="6" t="s">
        <v>197</v>
      </c>
    </row>
    <row r="31" spans="1:14" s="12" customFormat="1" ht="12" x14ac:dyDescent="0.25">
      <c r="A31" s="5">
        <v>46087</v>
      </c>
      <c r="B31" s="10">
        <f ca="1">TODAY()-A31</f>
        <v>53</v>
      </c>
      <c r="C31" s="6">
        <v>1908831</v>
      </c>
      <c r="D31" s="13" t="s">
        <v>51</v>
      </c>
      <c r="E31" s="6">
        <v>44998364436</v>
      </c>
      <c r="F31" s="6" t="s">
        <v>197</v>
      </c>
      <c r="G31" s="6">
        <v>1</v>
      </c>
      <c r="H31" s="6" t="s">
        <v>197</v>
      </c>
      <c r="I31" s="6" t="s">
        <v>197</v>
      </c>
      <c r="J31" s="6" t="s">
        <v>197</v>
      </c>
      <c r="K31" s="5">
        <v>46112</v>
      </c>
      <c r="L31" s="7" t="s">
        <v>184</v>
      </c>
      <c r="M31" s="7" t="s">
        <v>197</v>
      </c>
      <c r="N31" s="6" t="s">
        <v>197</v>
      </c>
    </row>
    <row r="32" spans="1:14" s="12" customFormat="1" ht="12" x14ac:dyDescent="0.25">
      <c r="A32" s="5">
        <v>46087</v>
      </c>
      <c r="B32" s="10">
        <f ca="1">TODAY()-A32</f>
        <v>53</v>
      </c>
      <c r="C32" s="6">
        <v>1908909</v>
      </c>
      <c r="D32" s="13" t="s">
        <v>52</v>
      </c>
      <c r="E32" s="6">
        <v>49991814188</v>
      </c>
      <c r="F32" s="6" t="s">
        <v>197</v>
      </c>
      <c r="G32" s="6">
        <v>1</v>
      </c>
      <c r="H32" s="6" t="s">
        <v>197</v>
      </c>
      <c r="I32" s="6" t="s">
        <v>197</v>
      </c>
      <c r="J32" s="6" t="s">
        <v>197</v>
      </c>
      <c r="K32" s="5">
        <v>46095</v>
      </c>
      <c r="L32" s="7" t="s">
        <v>184</v>
      </c>
      <c r="M32" s="7" t="s">
        <v>197</v>
      </c>
      <c r="N32" s="6" t="s">
        <v>197</v>
      </c>
    </row>
    <row r="33" spans="1:14" s="12" customFormat="1" ht="12" x14ac:dyDescent="0.25">
      <c r="A33" s="5">
        <v>46087</v>
      </c>
      <c r="B33" s="10">
        <f ca="1">TODAY()-A33</f>
        <v>53</v>
      </c>
      <c r="C33" s="6">
        <v>1908922</v>
      </c>
      <c r="D33" s="13" t="s">
        <v>53</v>
      </c>
      <c r="E33" s="6">
        <v>66999114503</v>
      </c>
      <c r="F33" s="6" t="s">
        <v>197</v>
      </c>
      <c r="G33" s="6">
        <v>1</v>
      </c>
      <c r="H33" s="6" t="s">
        <v>197</v>
      </c>
      <c r="I33" s="6" t="s">
        <v>197</v>
      </c>
      <c r="J33" s="6" t="s">
        <v>197</v>
      </c>
      <c r="K33" s="5">
        <v>46095</v>
      </c>
      <c r="L33" s="7" t="s">
        <v>184</v>
      </c>
      <c r="M33" s="7" t="s">
        <v>197</v>
      </c>
      <c r="N33" s="6" t="s">
        <v>197</v>
      </c>
    </row>
    <row r="34" spans="1:14" s="12" customFormat="1" ht="12" x14ac:dyDescent="0.25">
      <c r="A34" s="5">
        <v>46087</v>
      </c>
      <c r="B34" s="10">
        <f ca="1">TODAY()-A34</f>
        <v>53</v>
      </c>
      <c r="C34" s="6">
        <v>1909022</v>
      </c>
      <c r="D34" s="13" t="s">
        <v>46</v>
      </c>
      <c r="E34" s="6">
        <v>51996109432</v>
      </c>
      <c r="F34" s="6" t="s">
        <v>197</v>
      </c>
      <c r="G34" s="6">
        <v>1</v>
      </c>
      <c r="H34" s="6" t="s">
        <v>197</v>
      </c>
      <c r="I34" s="31" t="s">
        <v>197</v>
      </c>
      <c r="J34" s="6" t="s">
        <v>197</v>
      </c>
      <c r="K34" s="30">
        <v>46095</v>
      </c>
      <c r="L34" s="7" t="s">
        <v>184</v>
      </c>
      <c r="M34" s="7" t="s">
        <v>197</v>
      </c>
      <c r="N34" s="6" t="s">
        <v>197</v>
      </c>
    </row>
    <row r="35" spans="1:14" s="12" customFormat="1" ht="12" x14ac:dyDescent="0.25">
      <c r="A35" s="5">
        <v>46090</v>
      </c>
      <c r="B35" s="10">
        <f ca="1">TODAY()-A35</f>
        <v>50</v>
      </c>
      <c r="C35" s="6">
        <v>1909274</v>
      </c>
      <c r="D35" s="13" t="s">
        <v>71</v>
      </c>
      <c r="E35" s="6">
        <v>16999686015</v>
      </c>
      <c r="F35" s="6" t="s">
        <v>197</v>
      </c>
      <c r="G35" s="6">
        <v>1</v>
      </c>
      <c r="H35" s="6" t="s">
        <v>197</v>
      </c>
      <c r="I35" s="6" t="s">
        <v>197</v>
      </c>
      <c r="J35" s="6" t="s">
        <v>197</v>
      </c>
      <c r="K35" s="5">
        <v>46095</v>
      </c>
      <c r="L35" s="7" t="s">
        <v>184</v>
      </c>
      <c r="M35" s="7" t="s">
        <v>197</v>
      </c>
      <c r="N35" s="6" t="s">
        <v>197</v>
      </c>
    </row>
    <row r="36" spans="1:14" s="12" customFormat="1" ht="12" x14ac:dyDescent="0.25">
      <c r="A36" s="5">
        <v>46090</v>
      </c>
      <c r="B36" s="10">
        <f ca="1">TODAY()-A36</f>
        <v>50</v>
      </c>
      <c r="C36" s="6">
        <v>1909483</v>
      </c>
      <c r="D36" s="13" t="s">
        <v>74</v>
      </c>
      <c r="E36" s="6">
        <v>88996339916</v>
      </c>
      <c r="F36" s="6" t="s">
        <v>197</v>
      </c>
      <c r="G36" s="6">
        <v>1</v>
      </c>
      <c r="H36" s="6" t="s">
        <v>197</v>
      </c>
      <c r="I36" s="6" t="s">
        <v>197</v>
      </c>
      <c r="J36" s="6" t="s">
        <v>197</v>
      </c>
      <c r="K36" s="5">
        <v>46096</v>
      </c>
      <c r="L36" s="7" t="s">
        <v>184</v>
      </c>
      <c r="M36" s="7" t="s">
        <v>197</v>
      </c>
      <c r="N36" s="6" t="s">
        <v>197</v>
      </c>
    </row>
    <row r="37" spans="1:14" s="12" customFormat="1" ht="12" x14ac:dyDescent="0.25">
      <c r="A37" s="5">
        <v>46090</v>
      </c>
      <c r="B37" s="10">
        <f ca="1">TODAY()-A37</f>
        <v>50</v>
      </c>
      <c r="C37" s="18">
        <v>1909473</v>
      </c>
      <c r="D37" s="13" t="s">
        <v>65</v>
      </c>
      <c r="E37" s="6">
        <v>54999768170</v>
      </c>
      <c r="F37" s="6"/>
      <c r="G37" s="6">
        <v>1</v>
      </c>
      <c r="H37" s="6"/>
      <c r="I37" s="5"/>
      <c r="J37" s="6"/>
      <c r="K37" s="5">
        <v>46095</v>
      </c>
      <c r="L37" s="7" t="s">
        <v>184</v>
      </c>
      <c r="M37" s="7"/>
      <c r="N37" s="6" t="s">
        <v>309</v>
      </c>
    </row>
    <row r="38" spans="1:14" s="12" customFormat="1" ht="12" x14ac:dyDescent="0.25">
      <c r="A38" s="5">
        <v>46091</v>
      </c>
      <c r="B38" s="10">
        <f ca="1">TODAY()-A38</f>
        <v>49</v>
      </c>
      <c r="C38" s="6">
        <v>1909797</v>
      </c>
      <c r="D38" s="13" t="s">
        <v>79</v>
      </c>
      <c r="E38" s="6">
        <v>11984768787</v>
      </c>
      <c r="F38" s="6" t="s">
        <v>197</v>
      </c>
      <c r="G38" s="6">
        <v>1</v>
      </c>
      <c r="H38" s="6" t="s">
        <v>197</v>
      </c>
      <c r="I38" s="6" t="s">
        <v>197</v>
      </c>
      <c r="J38" s="6" t="s">
        <v>197</v>
      </c>
      <c r="K38" s="5">
        <v>46104</v>
      </c>
      <c r="L38" s="7" t="s">
        <v>184</v>
      </c>
      <c r="M38" s="7" t="s">
        <v>197</v>
      </c>
      <c r="N38" s="6" t="s">
        <v>197</v>
      </c>
    </row>
    <row r="39" spans="1:14" s="12" customFormat="1" ht="12" x14ac:dyDescent="0.25">
      <c r="A39" s="5">
        <v>46092</v>
      </c>
      <c r="B39" s="10">
        <f ca="1">TODAY()-A39</f>
        <v>48</v>
      </c>
      <c r="C39" s="6">
        <v>1910577</v>
      </c>
      <c r="D39" s="13" t="s">
        <v>99</v>
      </c>
      <c r="E39" s="6">
        <v>45999694041</v>
      </c>
      <c r="F39" s="6" t="s">
        <v>197</v>
      </c>
      <c r="G39" s="6">
        <v>1</v>
      </c>
      <c r="H39" s="6" t="s">
        <v>197</v>
      </c>
      <c r="I39" s="6" t="s">
        <v>197</v>
      </c>
      <c r="J39" s="6" t="s">
        <v>197</v>
      </c>
      <c r="K39" s="5">
        <v>46104</v>
      </c>
      <c r="L39" s="7" t="s">
        <v>184</v>
      </c>
      <c r="M39" s="7" t="s">
        <v>197</v>
      </c>
      <c r="N39" s="6" t="s">
        <v>197</v>
      </c>
    </row>
    <row r="40" spans="1:14" s="12" customFormat="1" ht="12" x14ac:dyDescent="0.25">
      <c r="A40" s="5">
        <v>46092</v>
      </c>
      <c r="B40" s="10">
        <f ca="1">TODAY()-A40</f>
        <v>48</v>
      </c>
      <c r="C40" s="6">
        <v>1910672</v>
      </c>
      <c r="D40" s="13" t="s">
        <v>100</v>
      </c>
      <c r="E40" s="6">
        <v>11984768797</v>
      </c>
      <c r="F40" s="6" t="s">
        <v>197</v>
      </c>
      <c r="G40" s="6">
        <v>1</v>
      </c>
      <c r="H40" s="6" t="s">
        <v>197</v>
      </c>
      <c r="I40" s="6" t="s">
        <v>197</v>
      </c>
      <c r="J40" s="6" t="s">
        <v>197</v>
      </c>
      <c r="K40" s="5">
        <v>46105</v>
      </c>
      <c r="L40" s="7" t="s">
        <v>184</v>
      </c>
      <c r="M40" s="7" t="s">
        <v>197</v>
      </c>
      <c r="N40" s="6" t="s">
        <v>197</v>
      </c>
    </row>
    <row r="41" spans="1:14" s="12" customFormat="1" ht="12" x14ac:dyDescent="0.25">
      <c r="A41" s="5">
        <v>46092</v>
      </c>
      <c r="B41" s="10">
        <f ca="1">TODAY()-A41</f>
        <v>48</v>
      </c>
      <c r="C41" s="6">
        <v>1910673</v>
      </c>
      <c r="D41" s="13" t="s">
        <v>204</v>
      </c>
      <c r="E41" s="6">
        <v>34997730116</v>
      </c>
      <c r="F41" s="6" t="s">
        <v>197</v>
      </c>
      <c r="G41" s="6">
        <v>1</v>
      </c>
      <c r="H41" s="6" t="s">
        <v>197</v>
      </c>
      <c r="I41" s="6" t="s">
        <v>197</v>
      </c>
      <c r="J41" s="6" t="s">
        <v>197</v>
      </c>
      <c r="K41" s="5">
        <v>46104</v>
      </c>
      <c r="L41" s="7" t="s">
        <v>184</v>
      </c>
      <c r="M41" s="7" t="s">
        <v>197</v>
      </c>
      <c r="N41" s="6" t="s">
        <v>197</v>
      </c>
    </row>
    <row r="42" spans="1:14" s="12" customFormat="1" ht="12" x14ac:dyDescent="0.25">
      <c r="A42" s="5">
        <v>46092</v>
      </c>
      <c r="B42" s="10">
        <f ca="1">TODAY()-A42</f>
        <v>48</v>
      </c>
      <c r="C42" s="6">
        <v>1910733</v>
      </c>
      <c r="D42" s="13" t="s">
        <v>95</v>
      </c>
      <c r="E42" s="6">
        <v>64993413489</v>
      </c>
      <c r="F42" s="6" t="s">
        <v>197</v>
      </c>
      <c r="G42" s="6">
        <v>1</v>
      </c>
      <c r="H42" s="6" t="s">
        <v>197</v>
      </c>
      <c r="I42" s="6" t="s">
        <v>197</v>
      </c>
      <c r="J42" s="6" t="s">
        <v>197</v>
      </c>
      <c r="K42" s="5">
        <v>46098</v>
      </c>
      <c r="L42" s="7" t="s">
        <v>184</v>
      </c>
      <c r="M42" s="7" t="s">
        <v>197</v>
      </c>
      <c r="N42" s="6" t="s">
        <v>197</v>
      </c>
    </row>
    <row r="43" spans="1:14" s="12" customFormat="1" ht="12" x14ac:dyDescent="0.25">
      <c r="A43" s="5">
        <v>46092</v>
      </c>
      <c r="B43" s="10">
        <f ca="1">TODAY()-A43</f>
        <v>48</v>
      </c>
      <c r="C43" s="6">
        <v>1910734</v>
      </c>
      <c r="D43" s="13" t="s">
        <v>92</v>
      </c>
      <c r="E43" s="6">
        <v>11976763504</v>
      </c>
      <c r="F43" s="6" t="s">
        <v>197</v>
      </c>
      <c r="G43" s="6">
        <v>1</v>
      </c>
      <c r="H43" s="6" t="s">
        <v>197</v>
      </c>
      <c r="I43" s="6" t="s">
        <v>197</v>
      </c>
      <c r="J43" s="6" t="s">
        <v>197</v>
      </c>
      <c r="K43" s="5">
        <v>46101</v>
      </c>
      <c r="L43" s="7" t="s">
        <v>184</v>
      </c>
      <c r="M43" s="7" t="s">
        <v>197</v>
      </c>
      <c r="N43" s="6" t="s">
        <v>197</v>
      </c>
    </row>
    <row r="44" spans="1:14" s="12" customFormat="1" ht="12" x14ac:dyDescent="0.25">
      <c r="A44" s="5">
        <v>46093</v>
      </c>
      <c r="B44" s="10">
        <f ca="1">TODAY()-A44</f>
        <v>47</v>
      </c>
      <c r="C44" s="6">
        <v>1904792</v>
      </c>
      <c r="D44" s="13" t="s">
        <v>104</v>
      </c>
      <c r="E44" s="6">
        <v>4599355548</v>
      </c>
      <c r="F44" s="6" t="s">
        <v>197</v>
      </c>
      <c r="G44" s="6">
        <v>1</v>
      </c>
      <c r="H44" s="6" t="s">
        <v>197</v>
      </c>
      <c r="I44" s="6" t="s">
        <v>197</v>
      </c>
      <c r="J44" s="6" t="s">
        <v>197</v>
      </c>
      <c r="K44" s="5">
        <v>46096</v>
      </c>
      <c r="L44" s="7" t="s">
        <v>184</v>
      </c>
      <c r="M44" s="7" t="s">
        <v>197</v>
      </c>
      <c r="N44" s="6" t="s">
        <v>197</v>
      </c>
    </row>
    <row r="45" spans="1:14" s="12" customFormat="1" ht="12" x14ac:dyDescent="0.25">
      <c r="A45" s="5">
        <v>46093</v>
      </c>
      <c r="B45" s="10">
        <f ca="1">TODAY()-A45</f>
        <v>47</v>
      </c>
      <c r="C45" s="6">
        <v>1904964</v>
      </c>
      <c r="D45" s="13" t="s">
        <v>105</v>
      </c>
      <c r="E45" s="6">
        <v>48991414903</v>
      </c>
      <c r="F45" s="6" t="s">
        <v>197</v>
      </c>
      <c r="G45" s="6">
        <v>1</v>
      </c>
      <c r="H45" s="6" t="s">
        <v>197</v>
      </c>
      <c r="I45" s="6" t="s">
        <v>197</v>
      </c>
      <c r="J45" s="6" t="s">
        <v>197</v>
      </c>
      <c r="K45" s="5">
        <v>46098</v>
      </c>
      <c r="L45" s="7" t="s">
        <v>184</v>
      </c>
      <c r="M45" s="7" t="s">
        <v>197</v>
      </c>
      <c r="N45" s="6" t="s">
        <v>197</v>
      </c>
    </row>
    <row r="46" spans="1:14" s="12" customFormat="1" ht="12" x14ac:dyDescent="0.25">
      <c r="A46" s="5">
        <v>46093</v>
      </c>
      <c r="B46" s="10">
        <f ca="1">TODAY()-A46</f>
        <v>47</v>
      </c>
      <c r="C46" s="6">
        <v>1910907</v>
      </c>
      <c r="D46" s="13" t="s">
        <v>107</v>
      </c>
      <c r="E46" s="6">
        <v>19935930106</v>
      </c>
      <c r="F46" s="6" t="s">
        <v>197</v>
      </c>
      <c r="G46" s="6">
        <v>1</v>
      </c>
      <c r="H46" s="6" t="s">
        <v>197</v>
      </c>
      <c r="I46" s="6" t="s">
        <v>197</v>
      </c>
      <c r="J46" s="6" t="s">
        <v>197</v>
      </c>
      <c r="K46" s="5">
        <v>46119</v>
      </c>
      <c r="L46" s="7" t="s">
        <v>184</v>
      </c>
      <c r="M46" s="7" t="s">
        <v>197</v>
      </c>
      <c r="N46" s="6" t="s">
        <v>197</v>
      </c>
    </row>
    <row r="47" spans="1:14" s="12" customFormat="1" ht="12" x14ac:dyDescent="0.25">
      <c r="A47" s="5">
        <v>46093</v>
      </c>
      <c r="B47" s="10">
        <f ca="1">TODAY()-A47</f>
        <v>47</v>
      </c>
      <c r="C47" s="6">
        <v>1911052</v>
      </c>
      <c r="D47" s="13" t="s">
        <v>261</v>
      </c>
      <c r="E47" s="6">
        <v>48998430841</v>
      </c>
      <c r="F47" s="6" t="s">
        <v>197</v>
      </c>
      <c r="G47" s="6">
        <v>1</v>
      </c>
      <c r="H47" s="6" t="s">
        <v>197</v>
      </c>
      <c r="I47" s="6" t="s">
        <v>197</v>
      </c>
      <c r="J47" s="6" t="s">
        <v>197</v>
      </c>
      <c r="K47" s="5">
        <v>46104</v>
      </c>
      <c r="L47" s="7" t="s">
        <v>184</v>
      </c>
      <c r="M47" s="7" t="s">
        <v>197</v>
      </c>
      <c r="N47" s="6" t="s">
        <v>197</v>
      </c>
    </row>
    <row r="48" spans="1:14" s="12" customFormat="1" ht="12" x14ac:dyDescent="0.25">
      <c r="A48" s="5">
        <v>46093</v>
      </c>
      <c r="B48" s="10">
        <f ca="1">TODAY()-A48</f>
        <v>47</v>
      </c>
      <c r="C48" s="6">
        <v>1911127</v>
      </c>
      <c r="D48" s="13" t="s">
        <v>114</v>
      </c>
      <c r="E48" s="10">
        <v>43984172996</v>
      </c>
      <c r="F48" s="6" t="s">
        <v>197</v>
      </c>
      <c r="G48" s="6">
        <v>1</v>
      </c>
      <c r="H48" s="6" t="s">
        <v>197</v>
      </c>
      <c r="I48" s="5" t="s">
        <v>197</v>
      </c>
      <c r="J48" s="6" t="s">
        <v>197</v>
      </c>
      <c r="K48" s="5">
        <v>46132</v>
      </c>
      <c r="L48" s="7" t="s">
        <v>184</v>
      </c>
      <c r="M48" s="7" t="s">
        <v>197</v>
      </c>
      <c r="N48" s="6" t="s">
        <v>197</v>
      </c>
    </row>
    <row r="49" spans="1:14" s="12" customFormat="1" ht="12" x14ac:dyDescent="0.25">
      <c r="A49" s="5">
        <v>46094</v>
      </c>
      <c r="B49" s="10">
        <f ca="1">TODAY()-A49</f>
        <v>46</v>
      </c>
      <c r="C49" s="6">
        <v>1911236</v>
      </c>
      <c r="D49" s="13" t="s">
        <v>127</v>
      </c>
      <c r="E49" s="6">
        <v>16991741533</v>
      </c>
      <c r="F49" s="6" t="s">
        <v>197</v>
      </c>
      <c r="G49" s="6">
        <v>1</v>
      </c>
      <c r="H49" s="6" t="s">
        <v>197</v>
      </c>
      <c r="I49" s="6" t="s">
        <v>197</v>
      </c>
      <c r="J49" s="6" t="s">
        <v>197</v>
      </c>
      <c r="K49" s="5">
        <v>46100</v>
      </c>
      <c r="L49" s="7" t="s">
        <v>184</v>
      </c>
      <c r="M49" s="7" t="s">
        <v>197</v>
      </c>
      <c r="N49" s="6" t="s">
        <v>197</v>
      </c>
    </row>
    <row r="50" spans="1:14" s="12" customFormat="1" ht="12" x14ac:dyDescent="0.25">
      <c r="A50" s="5">
        <v>46094</v>
      </c>
      <c r="B50" s="10">
        <f ca="1">TODAY()-A50</f>
        <v>46</v>
      </c>
      <c r="C50" s="6">
        <v>1911239</v>
      </c>
      <c r="D50" s="13" t="s">
        <v>129</v>
      </c>
      <c r="E50" s="6">
        <v>12993763528</v>
      </c>
      <c r="F50" s="6" t="s">
        <v>197</v>
      </c>
      <c r="G50" s="6">
        <v>1</v>
      </c>
      <c r="H50" s="6" t="s">
        <v>197</v>
      </c>
      <c r="I50" s="6" t="s">
        <v>197</v>
      </c>
      <c r="J50" s="6" t="s">
        <v>197</v>
      </c>
      <c r="K50" s="5">
        <v>46104</v>
      </c>
      <c r="L50" s="7" t="s">
        <v>184</v>
      </c>
      <c r="M50" s="7" t="s">
        <v>197</v>
      </c>
      <c r="N50" s="6" t="s">
        <v>197</v>
      </c>
    </row>
    <row r="51" spans="1:14" s="12" customFormat="1" ht="12" x14ac:dyDescent="0.25">
      <c r="A51" s="5">
        <v>46094</v>
      </c>
      <c r="B51" s="10">
        <f ca="1">TODAY()-A51</f>
        <v>46</v>
      </c>
      <c r="C51" s="6">
        <v>1911375</v>
      </c>
      <c r="D51" s="13" t="s">
        <v>125</v>
      </c>
      <c r="E51" s="6">
        <v>34996812743</v>
      </c>
      <c r="F51" s="6" t="s">
        <v>197</v>
      </c>
      <c r="G51" s="6">
        <v>1</v>
      </c>
      <c r="H51" s="6" t="s">
        <v>197</v>
      </c>
      <c r="I51" s="6" t="s">
        <v>197</v>
      </c>
      <c r="J51" s="6" t="s">
        <v>197</v>
      </c>
      <c r="K51" s="5">
        <v>46105</v>
      </c>
      <c r="L51" s="7" t="s">
        <v>184</v>
      </c>
      <c r="M51" s="7" t="s">
        <v>197</v>
      </c>
      <c r="N51" s="6" t="s">
        <v>197</v>
      </c>
    </row>
    <row r="52" spans="1:14" s="12" customFormat="1" ht="12" x14ac:dyDescent="0.25">
      <c r="A52" s="5">
        <v>46094</v>
      </c>
      <c r="B52" s="10">
        <f ca="1">TODAY()-A52</f>
        <v>46</v>
      </c>
      <c r="C52" s="6">
        <v>1911451</v>
      </c>
      <c r="D52" s="13" t="s">
        <v>134</v>
      </c>
      <c r="E52" s="6">
        <v>67999102319</v>
      </c>
      <c r="F52" s="6" t="s">
        <v>197</v>
      </c>
      <c r="G52" s="6">
        <v>1</v>
      </c>
      <c r="H52" s="6" t="s">
        <v>197</v>
      </c>
      <c r="I52" s="6" t="s">
        <v>197</v>
      </c>
      <c r="J52" s="6" t="s">
        <v>197</v>
      </c>
      <c r="K52" s="5">
        <v>46104</v>
      </c>
      <c r="L52" s="7" t="s">
        <v>184</v>
      </c>
      <c r="M52" s="7" t="s">
        <v>197</v>
      </c>
      <c r="N52" s="6" t="s">
        <v>197</v>
      </c>
    </row>
    <row r="53" spans="1:14" s="12" customFormat="1" ht="12" x14ac:dyDescent="0.25">
      <c r="A53" s="5">
        <v>46118</v>
      </c>
      <c r="B53" s="10">
        <f ca="1">TODAY()-A53</f>
        <v>22</v>
      </c>
      <c r="C53" s="6">
        <v>1919676</v>
      </c>
      <c r="D53" s="13" t="s">
        <v>213</v>
      </c>
      <c r="E53" s="6">
        <v>16993554596</v>
      </c>
      <c r="F53" s="6" t="s">
        <v>197</v>
      </c>
      <c r="G53" s="6">
        <v>1</v>
      </c>
      <c r="H53" s="6" t="s">
        <v>197</v>
      </c>
      <c r="I53" s="5" t="s">
        <v>197</v>
      </c>
      <c r="J53" s="6" t="s">
        <v>197</v>
      </c>
      <c r="K53" s="5">
        <v>46122</v>
      </c>
      <c r="L53" s="7" t="s">
        <v>184</v>
      </c>
      <c r="M53" s="7" t="s">
        <v>197</v>
      </c>
      <c r="N53" s="6" t="s">
        <v>197</v>
      </c>
    </row>
    <row r="54" spans="1:14" s="12" customFormat="1" ht="12" x14ac:dyDescent="0.25">
      <c r="A54" s="5">
        <v>46118</v>
      </c>
      <c r="B54" s="10">
        <f ca="1">TODAY()-A54</f>
        <v>22</v>
      </c>
      <c r="C54" s="6">
        <v>1919667</v>
      </c>
      <c r="D54" s="13" t="s">
        <v>211</v>
      </c>
      <c r="E54" s="6" t="s">
        <v>340</v>
      </c>
      <c r="F54" s="6" t="s">
        <v>197</v>
      </c>
      <c r="G54" s="6">
        <v>1</v>
      </c>
      <c r="H54" s="6" t="s">
        <v>197</v>
      </c>
      <c r="I54" s="5" t="s">
        <v>197</v>
      </c>
      <c r="J54" s="6" t="s">
        <v>197</v>
      </c>
      <c r="K54" s="5">
        <v>46127</v>
      </c>
      <c r="L54" s="7" t="s">
        <v>184</v>
      </c>
      <c r="M54" s="7" t="s">
        <v>197</v>
      </c>
      <c r="N54" s="6" t="s">
        <v>197</v>
      </c>
    </row>
    <row r="55" spans="1:14" s="12" customFormat="1" ht="12" x14ac:dyDescent="0.25">
      <c r="A55" s="5">
        <v>46119</v>
      </c>
      <c r="B55" s="10">
        <f ca="1">TODAY()-A55</f>
        <v>21</v>
      </c>
      <c r="C55" s="6">
        <v>1919818</v>
      </c>
      <c r="D55" s="13" t="s">
        <v>218</v>
      </c>
      <c r="E55" s="6">
        <v>19994140280</v>
      </c>
      <c r="F55" s="6" t="s">
        <v>197</v>
      </c>
      <c r="G55" s="6">
        <v>1</v>
      </c>
      <c r="H55" s="6" t="s">
        <v>197</v>
      </c>
      <c r="I55" s="5" t="s">
        <v>197</v>
      </c>
      <c r="J55" s="6" t="s">
        <v>197</v>
      </c>
      <c r="K55" s="5">
        <v>46122</v>
      </c>
      <c r="L55" s="7" t="s">
        <v>184</v>
      </c>
      <c r="M55" s="7" t="s">
        <v>197</v>
      </c>
      <c r="N55" s="6" t="s">
        <v>197</v>
      </c>
    </row>
    <row r="56" spans="1:14" s="12" customFormat="1" ht="12" x14ac:dyDescent="0.25">
      <c r="A56" s="5">
        <v>46120</v>
      </c>
      <c r="B56" s="10">
        <f ca="1">TODAY()-A56</f>
        <v>20</v>
      </c>
      <c r="C56" s="6">
        <v>1920364</v>
      </c>
      <c r="D56" s="13" t="s">
        <v>228</v>
      </c>
      <c r="E56" s="6" t="s">
        <v>252</v>
      </c>
      <c r="F56" s="6" t="s">
        <v>197</v>
      </c>
      <c r="G56" s="6">
        <v>1</v>
      </c>
      <c r="H56" s="6" t="s">
        <v>197</v>
      </c>
      <c r="I56" s="5" t="s">
        <v>197</v>
      </c>
      <c r="J56" s="6" t="s">
        <v>197</v>
      </c>
      <c r="K56" s="5">
        <v>46122</v>
      </c>
      <c r="L56" s="7" t="s">
        <v>184</v>
      </c>
      <c r="M56" s="7" t="s">
        <v>197</v>
      </c>
      <c r="N56" s="6" t="s">
        <v>197</v>
      </c>
    </row>
    <row r="57" spans="1:14" s="12" customFormat="1" ht="12" x14ac:dyDescent="0.25">
      <c r="A57" s="5">
        <v>46120</v>
      </c>
      <c r="B57" s="10">
        <f ca="1">TODAY()-A57</f>
        <v>20</v>
      </c>
      <c r="C57" s="6">
        <v>1920463</v>
      </c>
      <c r="D57" s="13" t="s">
        <v>232</v>
      </c>
      <c r="E57" s="6" t="s">
        <v>254</v>
      </c>
      <c r="F57" s="6" t="s">
        <v>197</v>
      </c>
      <c r="G57" s="6">
        <v>1</v>
      </c>
      <c r="H57" s="6" t="s">
        <v>197</v>
      </c>
      <c r="I57" s="5" t="s">
        <v>197</v>
      </c>
      <c r="J57" s="6" t="s">
        <v>197</v>
      </c>
      <c r="K57" s="5">
        <v>46122</v>
      </c>
      <c r="L57" s="7" t="s">
        <v>184</v>
      </c>
      <c r="M57" s="7" t="s">
        <v>197</v>
      </c>
      <c r="N57" s="6" t="s">
        <v>197</v>
      </c>
    </row>
    <row r="58" spans="1:14" s="12" customFormat="1" ht="12" x14ac:dyDescent="0.25">
      <c r="A58" s="5">
        <v>46120</v>
      </c>
      <c r="B58" s="10">
        <f ca="1">TODAY()-A58</f>
        <v>20</v>
      </c>
      <c r="C58" s="6">
        <v>1920461</v>
      </c>
      <c r="D58" s="13" t="s">
        <v>231</v>
      </c>
      <c r="E58" s="21">
        <v>48996668456</v>
      </c>
      <c r="F58" s="6" t="s">
        <v>197</v>
      </c>
      <c r="G58" s="6">
        <v>1</v>
      </c>
      <c r="H58" s="6" t="s">
        <v>197</v>
      </c>
      <c r="I58" s="5" t="s">
        <v>197</v>
      </c>
      <c r="J58" s="6" t="s">
        <v>197</v>
      </c>
      <c r="K58" s="5">
        <v>46128</v>
      </c>
      <c r="L58" s="7" t="s">
        <v>184</v>
      </c>
      <c r="M58" s="7" t="s">
        <v>197</v>
      </c>
      <c r="N58" s="6" t="s">
        <v>197</v>
      </c>
    </row>
    <row r="59" spans="1:14" s="12" customFormat="1" ht="12" x14ac:dyDescent="0.25">
      <c r="A59" s="5">
        <v>46121</v>
      </c>
      <c r="B59" s="10">
        <f ca="1">TODAY()-A59</f>
        <v>19</v>
      </c>
      <c r="C59" s="6">
        <v>1920871</v>
      </c>
      <c r="D59" s="13" t="s">
        <v>271</v>
      </c>
      <c r="E59" s="21">
        <v>47996303787</v>
      </c>
      <c r="F59" s="6" t="s">
        <v>197</v>
      </c>
      <c r="G59" s="6">
        <v>1</v>
      </c>
      <c r="H59" s="6" t="s">
        <v>197</v>
      </c>
      <c r="I59" s="5" t="s">
        <v>197</v>
      </c>
      <c r="J59" s="6" t="s">
        <v>197</v>
      </c>
      <c r="K59" s="5">
        <v>46132</v>
      </c>
      <c r="L59" s="7" t="s">
        <v>184</v>
      </c>
      <c r="M59" s="7" t="s">
        <v>197</v>
      </c>
      <c r="N59" s="6" t="s">
        <v>197</v>
      </c>
    </row>
    <row r="60" spans="1:14" s="12" customFormat="1" ht="12" x14ac:dyDescent="0.25">
      <c r="A60" s="5">
        <v>46121</v>
      </c>
      <c r="B60" s="10">
        <f ca="1">TODAY()-A60</f>
        <v>19</v>
      </c>
      <c r="C60" s="6">
        <v>1920589</v>
      </c>
      <c r="D60" s="13" t="s">
        <v>264</v>
      </c>
      <c r="E60" s="6" t="s">
        <v>274</v>
      </c>
      <c r="F60" s="6" t="s">
        <v>197</v>
      </c>
      <c r="G60" s="6">
        <v>1</v>
      </c>
      <c r="H60" s="6" t="s">
        <v>197</v>
      </c>
      <c r="I60" s="5" t="s">
        <v>197</v>
      </c>
      <c r="J60" s="6" t="s">
        <v>197</v>
      </c>
      <c r="K60" s="5">
        <v>46122</v>
      </c>
      <c r="L60" s="7" t="s">
        <v>184</v>
      </c>
      <c r="M60" s="7" t="s">
        <v>197</v>
      </c>
      <c r="N60" s="6" t="s">
        <v>197</v>
      </c>
    </row>
    <row r="61" spans="1:14" s="12" customFormat="1" ht="12" x14ac:dyDescent="0.25">
      <c r="A61" s="5">
        <v>46121</v>
      </c>
      <c r="B61" s="10">
        <f ca="1">TODAY()-A61</f>
        <v>19</v>
      </c>
      <c r="C61" s="6">
        <v>1920949</v>
      </c>
      <c r="D61" s="13" t="s">
        <v>269</v>
      </c>
      <c r="E61" s="6" t="s">
        <v>279</v>
      </c>
      <c r="F61" s="6" t="s">
        <v>197</v>
      </c>
      <c r="G61" s="6">
        <v>1</v>
      </c>
      <c r="H61" s="6" t="s">
        <v>197</v>
      </c>
      <c r="I61" s="5" t="s">
        <v>197</v>
      </c>
      <c r="J61" s="6" t="s">
        <v>197</v>
      </c>
      <c r="K61" s="5">
        <v>46122</v>
      </c>
      <c r="L61" s="7" t="s">
        <v>184</v>
      </c>
      <c r="M61" s="7" t="s">
        <v>197</v>
      </c>
      <c r="N61" s="6" t="s">
        <v>197</v>
      </c>
    </row>
    <row r="62" spans="1:14" s="12" customFormat="1" ht="12" x14ac:dyDescent="0.25">
      <c r="A62" s="5">
        <v>46121</v>
      </c>
      <c r="B62" s="10">
        <f ca="1">TODAY()-A62</f>
        <v>19</v>
      </c>
      <c r="C62" s="6">
        <v>1920950</v>
      </c>
      <c r="D62" s="13" t="s">
        <v>266</v>
      </c>
      <c r="E62" s="6" t="s">
        <v>276</v>
      </c>
      <c r="F62" s="6" t="s">
        <v>197</v>
      </c>
      <c r="G62" s="6">
        <v>1</v>
      </c>
      <c r="H62" s="6" t="s">
        <v>197</v>
      </c>
      <c r="I62" s="5" t="s">
        <v>197</v>
      </c>
      <c r="J62" s="6" t="s">
        <v>197</v>
      </c>
      <c r="K62" s="5">
        <v>46122</v>
      </c>
      <c r="L62" s="7" t="s">
        <v>184</v>
      </c>
      <c r="M62" s="7" t="s">
        <v>197</v>
      </c>
      <c r="N62" s="6" t="s">
        <v>197</v>
      </c>
    </row>
    <row r="63" spans="1:14" s="12" customFormat="1" ht="12" x14ac:dyDescent="0.25">
      <c r="A63" s="5">
        <v>46121</v>
      </c>
      <c r="B63" s="10">
        <f ca="1">TODAY()-A63</f>
        <v>19</v>
      </c>
      <c r="C63" s="6">
        <v>1920873</v>
      </c>
      <c r="D63" s="13" t="s">
        <v>270</v>
      </c>
      <c r="E63" s="6" t="s">
        <v>281</v>
      </c>
      <c r="F63" s="6" t="s">
        <v>197</v>
      </c>
      <c r="G63" s="6">
        <v>1</v>
      </c>
      <c r="H63" s="6" t="s">
        <v>197</v>
      </c>
      <c r="I63" s="5" t="s">
        <v>197</v>
      </c>
      <c r="J63" s="6" t="s">
        <v>197</v>
      </c>
      <c r="K63" s="5">
        <v>46132</v>
      </c>
      <c r="L63" s="7" t="s">
        <v>184</v>
      </c>
      <c r="M63" s="7" t="s">
        <v>197</v>
      </c>
      <c r="N63" s="6" t="s">
        <v>197</v>
      </c>
    </row>
    <row r="64" spans="1:14" s="12" customFormat="1" ht="12" x14ac:dyDescent="0.25">
      <c r="A64" s="5">
        <v>46122</v>
      </c>
      <c r="B64" s="10">
        <f ca="1">TODAY()-A64</f>
        <v>18</v>
      </c>
      <c r="C64" s="6">
        <v>1921264</v>
      </c>
      <c r="D64" s="13" t="s">
        <v>287</v>
      </c>
      <c r="E64" s="6" t="s">
        <v>294</v>
      </c>
      <c r="F64" s="6" t="s">
        <v>197</v>
      </c>
      <c r="G64" s="6">
        <v>1</v>
      </c>
      <c r="H64" s="6" t="s">
        <v>197</v>
      </c>
      <c r="I64" s="6" t="s">
        <v>197</v>
      </c>
      <c r="J64" s="6" t="s">
        <v>197</v>
      </c>
      <c r="K64" s="5">
        <v>46128</v>
      </c>
      <c r="L64" s="7" t="s">
        <v>184</v>
      </c>
      <c r="M64" s="7" t="s">
        <v>197</v>
      </c>
      <c r="N64" s="6" t="s">
        <v>197</v>
      </c>
    </row>
    <row r="65" spans="1:14" s="12" customFormat="1" ht="12" x14ac:dyDescent="0.25">
      <c r="A65" s="5">
        <v>46126</v>
      </c>
      <c r="B65" s="10">
        <f ca="1">TODAY()-A65</f>
        <v>14</v>
      </c>
      <c r="C65" s="6">
        <v>1921997</v>
      </c>
      <c r="D65" s="13" t="s">
        <v>352</v>
      </c>
      <c r="E65" s="6" t="s">
        <v>363</v>
      </c>
      <c r="F65" s="6" t="s">
        <v>197</v>
      </c>
      <c r="G65" s="6">
        <v>1</v>
      </c>
      <c r="H65" s="6" t="s">
        <v>197</v>
      </c>
      <c r="I65" s="6" t="s">
        <v>197</v>
      </c>
      <c r="J65" s="6" t="s">
        <v>197</v>
      </c>
      <c r="K65" s="5">
        <v>46129</v>
      </c>
      <c r="L65" s="7" t="s">
        <v>184</v>
      </c>
      <c r="M65" s="7" t="s">
        <v>197</v>
      </c>
      <c r="N65" s="6" t="s">
        <v>197</v>
      </c>
    </row>
    <row r="66" spans="1:14" s="12" customFormat="1" ht="12" x14ac:dyDescent="0.25">
      <c r="A66" s="5">
        <v>46126</v>
      </c>
      <c r="B66" s="10">
        <f ca="1">TODAY()-A66</f>
        <v>14</v>
      </c>
      <c r="C66" s="6">
        <v>1922201</v>
      </c>
      <c r="D66" s="13" t="s">
        <v>349</v>
      </c>
      <c r="E66" s="6" t="s">
        <v>359</v>
      </c>
      <c r="F66" s="6" t="s">
        <v>197</v>
      </c>
      <c r="G66" s="6">
        <v>1</v>
      </c>
      <c r="H66" s="6" t="s">
        <v>197</v>
      </c>
      <c r="I66" s="6" t="s">
        <v>197</v>
      </c>
      <c r="J66" s="6" t="s">
        <v>197</v>
      </c>
      <c r="K66" s="5">
        <v>46129</v>
      </c>
      <c r="L66" s="7" t="s">
        <v>184</v>
      </c>
      <c r="M66" s="7" t="s">
        <v>197</v>
      </c>
      <c r="N66" s="6" t="s">
        <v>197</v>
      </c>
    </row>
    <row r="67" spans="1:14" s="12" customFormat="1" ht="12" x14ac:dyDescent="0.25">
      <c r="A67" s="5">
        <v>46126</v>
      </c>
      <c r="B67" s="10">
        <f ca="1">TODAY()-A67</f>
        <v>14</v>
      </c>
      <c r="C67" s="6">
        <v>1922050</v>
      </c>
      <c r="D67" s="13" t="s">
        <v>354</v>
      </c>
      <c r="E67" s="6" t="s">
        <v>365</v>
      </c>
      <c r="F67" s="6" t="s">
        <v>197</v>
      </c>
      <c r="G67" s="6">
        <v>1</v>
      </c>
      <c r="H67" s="6" t="s">
        <v>197</v>
      </c>
      <c r="I67" s="6" t="s">
        <v>197</v>
      </c>
      <c r="J67" s="6" t="s">
        <v>197</v>
      </c>
      <c r="K67" s="5">
        <v>46129</v>
      </c>
      <c r="L67" s="7" t="s">
        <v>184</v>
      </c>
      <c r="M67" s="7" t="s">
        <v>197</v>
      </c>
      <c r="N67" s="6" t="s">
        <v>197</v>
      </c>
    </row>
    <row r="68" spans="1:14" s="12" customFormat="1" ht="12" x14ac:dyDescent="0.25">
      <c r="A68" s="5">
        <v>46127</v>
      </c>
      <c r="B68" s="10">
        <f ca="1">TODAY()-A68</f>
        <v>13</v>
      </c>
      <c r="C68" s="6">
        <v>1922675</v>
      </c>
      <c r="D68" s="13" t="s">
        <v>381</v>
      </c>
      <c r="E68" s="6" t="s">
        <v>382</v>
      </c>
      <c r="F68" s="6"/>
      <c r="G68" s="6">
        <v>1</v>
      </c>
      <c r="H68" s="6"/>
      <c r="I68" s="6"/>
      <c r="J68" s="6"/>
      <c r="K68" s="5">
        <v>46134</v>
      </c>
      <c r="L68" s="7" t="s">
        <v>184</v>
      </c>
      <c r="M68" s="7"/>
      <c r="N68" s="6" t="s">
        <v>430</v>
      </c>
    </row>
    <row r="69" spans="1:14" s="12" customFormat="1" ht="12" x14ac:dyDescent="0.25">
      <c r="A69" s="5">
        <v>46127</v>
      </c>
      <c r="B69" s="10">
        <f ca="1">TODAY()-A69</f>
        <v>13</v>
      </c>
      <c r="C69" s="6">
        <v>1922657</v>
      </c>
      <c r="D69" s="13" t="s">
        <v>377</v>
      </c>
      <c r="E69" s="6" t="s">
        <v>378</v>
      </c>
      <c r="F69" s="6" t="s">
        <v>197</v>
      </c>
      <c r="G69" s="6">
        <v>1</v>
      </c>
      <c r="H69" s="6" t="s">
        <v>197</v>
      </c>
      <c r="I69" s="6" t="s">
        <v>197</v>
      </c>
      <c r="J69" s="6" t="s">
        <v>197</v>
      </c>
      <c r="K69" s="5">
        <v>46132</v>
      </c>
      <c r="L69" s="7" t="s">
        <v>184</v>
      </c>
      <c r="M69" s="7" t="s">
        <v>197</v>
      </c>
      <c r="N69" s="6" t="s">
        <v>197</v>
      </c>
    </row>
    <row r="70" spans="1:14" s="12" customFormat="1" ht="12" x14ac:dyDescent="0.25">
      <c r="A70" s="5">
        <v>46127</v>
      </c>
      <c r="B70" s="10">
        <f ca="1">TODAY()-A70</f>
        <v>13</v>
      </c>
      <c r="C70" s="6">
        <v>1922745</v>
      </c>
      <c r="D70" s="13" t="s">
        <v>385</v>
      </c>
      <c r="E70" s="21">
        <v>32998043438</v>
      </c>
      <c r="F70" s="6" t="s">
        <v>197</v>
      </c>
      <c r="G70" s="6">
        <v>1</v>
      </c>
      <c r="H70" s="6" t="s">
        <v>197</v>
      </c>
      <c r="I70" s="6" t="s">
        <v>197</v>
      </c>
      <c r="J70" s="6" t="s">
        <v>197</v>
      </c>
      <c r="K70" s="30">
        <v>46132</v>
      </c>
      <c r="L70" s="7" t="s">
        <v>184</v>
      </c>
      <c r="M70" s="7" t="s">
        <v>197</v>
      </c>
      <c r="N70" s="6" t="s">
        <v>197</v>
      </c>
    </row>
    <row r="71" spans="1:14" s="12" customFormat="1" ht="12" x14ac:dyDescent="0.25">
      <c r="A71" s="5">
        <v>46128</v>
      </c>
      <c r="B71" s="10">
        <f ca="1">TODAY()-A71</f>
        <v>12</v>
      </c>
      <c r="C71" s="6">
        <v>1923078</v>
      </c>
      <c r="D71" s="13" t="s">
        <v>403</v>
      </c>
      <c r="E71" s="6">
        <v>38998580867</v>
      </c>
      <c r="F71" s="6"/>
      <c r="G71" s="6">
        <v>1</v>
      </c>
      <c r="H71" s="5">
        <v>46128</v>
      </c>
      <c r="I71" s="5"/>
      <c r="J71" s="6"/>
      <c r="K71" s="5">
        <v>46134</v>
      </c>
      <c r="L71" s="7" t="s">
        <v>184</v>
      </c>
      <c r="M71" s="7"/>
      <c r="N71" s="6" t="s">
        <v>432</v>
      </c>
    </row>
    <row r="72" spans="1:14" s="12" customFormat="1" ht="12" x14ac:dyDescent="0.25">
      <c r="A72" s="5">
        <v>46128</v>
      </c>
      <c r="B72" s="10">
        <f ca="1">TODAY()-A72</f>
        <v>12</v>
      </c>
      <c r="C72" s="6">
        <v>1923085</v>
      </c>
      <c r="D72" s="13" t="s">
        <v>401</v>
      </c>
      <c r="E72" s="6">
        <v>19991972501</v>
      </c>
      <c r="F72" s="6" t="s">
        <v>197</v>
      </c>
      <c r="G72" s="6">
        <v>1</v>
      </c>
      <c r="H72" s="6" t="s">
        <v>197</v>
      </c>
      <c r="I72" s="6" t="s">
        <v>197</v>
      </c>
      <c r="J72" s="6" t="s">
        <v>197</v>
      </c>
      <c r="K72" s="5">
        <v>46132</v>
      </c>
      <c r="L72" s="7" t="s">
        <v>184</v>
      </c>
      <c r="M72" s="7" t="s">
        <v>197</v>
      </c>
      <c r="N72" s="6" t="s">
        <v>197</v>
      </c>
    </row>
    <row r="73" spans="1:14" s="12" customFormat="1" ht="12" x14ac:dyDescent="0.25">
      <c r="A73" s="5">
        <v>46129</v>
      </c>
      <c r="B73" s="10">
        <f ca="1">TODAY()-A73</f>
        <v>11</v>
      </c>
      <c r="C73" s="6">
        <v>1923598</v>
      </c>
      <c r="D73" s="13" t="s">
        <v>408</v>
      </c>
      <c r="E73" s="6">
        <v>49988410415</v>
      </c>
      <c r="F73" s="6"/>
      <c r="G73" s="6">
        <v>1</v>
      </c>
      <c r="H73" s="5"/>
      <c r="I73" s="5"/>
      <c r="J73" s="6"/>
      <c r="K73" s="5">
        <v>46134</v>
      </c>
      <c r="L73" s="7" t="s">
        <v>184</v>
      </c>
      <c r="M73" s="7"/>
      <c r="N73" s="6" t="s">
        <v>432</v>
      </c>
    </row>
    <row r="74" spans="1:14" s="12" customFormat="1" ht="12" x14ac:dyDescent="0.25">
      <c r="A74" s="5">
        <v>46132</v>
      </c>
      <c r="B74" s="10">
        <f ca="1">TODAY()-A74</f>
        <v>8</v>
      </c>
      <c r="C74" s="6">
        <v>1924021</v>
      </c>
      <c r="D74" s="13" t="s">
        <v>435</v>
      </c>
      <c r="E74" s="6" t="s">
        <v>445</v>
      </c>
      <c r="F74" s="6"/>
      <c r="G74" s="6">
        <v>1</v>
      </c>
      <c r="H74" s="5"/>
      <c r="I74" s="5"/>
      <c r="J74" s="6"/>
      <c r="K74" s="5">
        <v>46135</v>
      </c>
      <c r="L74" s="7" t="s">
        <v>184</v>
      </c>
      <c r="M74" s="7"/>
      <c r="N74" s="6" t="s">
        <v>468</v>
      </c>
    </row>
    <row r="75" spans="1:14" s="12" customFormat="1" ht="12" x14ac:dyDescent="0.25">
      <c r="A75" s="5">
        <v>46132</v>
      </c>
      <c r="B75" s="10">
        <f ca="1">TODAY()-A75</f>
        <v>8</v>
      </c>
      <c r="C75" s="6">
        <v>1924281</v>
      </c>
      <c r="D75" s="13" t="s">
        <v>438</v>
      </c>
      <c r="E75" s="6" t="s">
        <v>447</v>
      </c>
      <c r="F75" s="6"/>
      <c r="G75" s="6">
        <v>1</v>
      </c>
      <c r="H75" s="5"/>
      <c r="I75" s="5"/>
      <c r="J75" s="6"/>
      <c r="K75" s="5">
        <v>46135</v>
      </c>
      <c r="L75" s="7" t="s">
        <v>184</v>
      </c>
      <c r="M75" s="7"/>
      <c r="N75" s="6" t="s">
        <v>432</v>
      </c>
    </row>
    <row r="76" spans="1:14" s="12" customFormat="1" ht="12" x14ac:dyDescent="0.25">
      <c r="A76" s="5">
        <v>46134</v>
      </c>
      <c r="B76" s="10">
        <f ca="1">TODAY()-A76</f>
        <v>6</v>
      </c>
      <c r="C76" s="6">
        <v>1924623</v>
      </c>
      <c r="D76" s="13" t="s">
        <v>471</v>
      </c>
      <c r="E76" s="6" t="s">
        <v>481</v>
      </c>
      <c r="F76" s="6"/>
      <c r="G76" s="6">
        <v>1</v>
      </c>
      <c r="H76" s="5"/>
      <c r="I76" s="5"/>
      <c r="J76" s="6"/>
      <c r="K76" s="5">
        <v>46135</v>
      </c>
      <c r="L76" s="7" t="s">
        <v>184</v>
      </c>
      <c r="M76" s="7"/>
      <c r="N76" s="6"/>
    </row>
    <row r="77" spans="1:14" s="12" customFormat="1" ht="12" x14ac:dyDescent="0.25">
      <c r="A77" s="5">
        <v>46134</v>
      </c>
      <c r="B77" s="10">
        <f ca="1">TODAY()-A77</f>
        <v>6</v>
      </c>
      <c r="C77" s="6">
        <v>1924552</v>
      </c>
      <c r="D77" s="13" t="s">
        <v>477</v>
      </c>
      <c r="E77" s="6">
        <v>46999222750</v>
      </c>
      <c r="F77" s="6"/>
      <c r="G77" s="6">
        <v>1</v>
      </c>
      <c r="H77" s="5"/>
      <c r="I77" s="5"/>
      <c r="J77" s="6"/>
      <c r="K77" s="5">
        <v>46135</v>
      </c>
      <c r="L77" s="7" t="s">
        <v>184</v>
      </c>
      <c r="M77" s="7"/>
      <c r="N77" s="6"/>
    </row>
    <row r="78" spans="1:14" s="12" customFormat="1" ht="12" x14ac:dyDescent="0.25">
      <c r="A78" s="5">
        <v>46134</v>
      </c>
      <c r="B78" s="10">
        <f ca="1">TODAY()-A78</f>
        <v>6</v>
      </c>
      <c r="C78" s="6">
        <v>1924524</v>
      </c>
      <c r="D78" s="13" t="s">
        <v>469</v>
      </c>
      <c r="E78" s="6" t="s">
        <v>479</v>
      </c>
      <c r="F78" s="6"/>
      <c r="G78" s="6">
        <v>1</v>
      </c>
      <c r="H78" s="5"/>
      <c r="I78" s="5"/>
      <c r="J78" s="6"/>
      <c r="K78" s="5">
        <v>46135</v>
      </c>
      <c r="L78" s="7" t="s">
        <v>184</v>
      </c>
      <c r="M78" s="7"/>
      <c r="N78" s="6" t="s">
        <v>490</v>
      </c>
    </row>
    <row r="79" spans="1:14" s="12" customFormat="1" ht="12" x14ac:dyDescent="0.25">
      <c r="A79" s="5">
        <v>46085</v>
      </c>
      <c r="B79" s="10">
        <f ca="1">TODAY()-A79</f>
        <v>55</v>
      </c>
      <c r="C79" s="6">
        <v>1907133</v>
      </c>
      <c r="D79" s="13" t="s">
        <v>24</v>
      </c>
      <c r="E79" s="6">
        <v>94984387419</v>
      </c>
      <c r="F79" s="6" t="s">
        <v>197</v>
      </c>
      <c r="G79" s="6" t="s">
        <v>197</v>
      </c>
      <c r="H79" s="6" t="s">
        <v>197</v>
      </c>
      <c r="I79" s="6" t="s">
        <v>197</v>
      </c>
      <c r="J79" s="6" t="s">
        <v>197</v>
      </c>
      <c r="K79" s="6" t="s">
        <v>197</v>
      </c>
      <c r="L79" s="7" t="s">
        <v>262</v>
      </c>
      <c r="M79" s="7" t="s">
        <v>197</v>
      </c>
      <c r="N79" s="6" t="s">
        <v>197</v>
      </c>
    </row>
    <row r="80" spans="1:14" s="12" customFormat="1" ht="12" x14ac:dyDescent="0.25">
      <c r="A80" s="5">
        <v>46086</v>
      </c>
      <c r="B80" s="10">
        <f ca="1">TODAY()-A80</f>
        <v>54</v>
      </c>
      <c r="C80" s="6">
        <v>1908061</v>
      </c>
      <c r="D80" s="13" t="s">
        <v>37</v>
      </c>
      <c r="E80" s="6">
        <v>19988939116</v>
      </c>
      <c r="F80" s="6"/>
      <c r="G80" s="6">
        <v>1</v>
      </c>
      <c r="H80" s="6"/>
      <c r="I80" s="6"/>
      <c r="J80" s="6"/>
      <c r="K80" s="5"/>
      <c r="L80" s="7" t="s">
        <v>262</v>
      </c>
      <c r="M80" s="7"/>
      <c r="N80" s="6" t="s">
        <v>308</v>
      </c>
    </row>
    <row r="81" spans="1:14" s="12" customFormat="1" ht="12" x14ac:dyDescent="0.25">
      <c r="A81" s="5">
        <v>46087</v>
      </c>
      <c r="B81" s="10">
        <f ca="1">TODAY()-A81</f>
        <v>53</v>
      </c>
      <c r="C81" s="6">
        <v>1908918</v>
      </c>
      <c r="D81" s="13" t="s">
        <v>304</v>
      </c>
      <c r="E81" s="6">
        <v>17992080570</v>
      </c>
      <c r="F81" s="6"/>
      <c r="G81" s="6">
        <v>1</v>
      </c>
      <c r="H81" s="6"/>
      <c r="I81" s="6"/>
      <c r="J81" s="6"/>
      <c r="K81" s="5"/>
      <c r="L81" s="7" t="s">
        <v>262</v>
      </c>
      <c r="M81" s="7"/>
      <c r="N81" s="6" t="s">
        <v>302</v>
      </c>
    </row>
    <row r="82" spans="1:14" s="12" customFormat="1" ht="12" x14ac:dyDescent="0.25">
      <c r="A82" s="5">
        <v>46091</v>
      </c>
      <c r="B82" s="10">
        <f ca="1">TODAY()-A82</f>
        <v>49</v>
      </c>
      <c r="C82" s="18">
        <v>1909964</v>
      </c>
      <c r="D82" s="13" t="s">
        <v>80</v>
      </c>
      <c r="E82" s="6">
        <v>16991909407</v>
      </c>
      <c r="F82" s="6"/>
      <c r="G82" s="6">
        <v>1</v>
      </c>
      <c r="H82" s="6"/>
      <c r="I82" s="5">
        <v>46100</v>
      </c>
      <c r="J82" s="5" t="s">
        <v>158</v>
      </c>
      <c r="K82" s="5"/>
      <c r="L82" s="7" t="s">
        <v>262</v>
      </c>
      <c r="M82" s="7"/>
      <c r="N82" s="6"/>
    </row>
    <row r="83" spans="1:14" s="12" customFormat="1" ht="12" x14ac:dyDescent="0.25">
      <c r="A83" s="5">
        <v>46091</v>
      </c>
      <c r="B83" s="10">
        <f ca="1">TODAY()-A83</f>
        <v>49</v>
      </c>
      <c r="C83" s="18">
        <v>1910054</v>
      </c>
      <c r="D83" s="13" t="s">
        <v>84</v>
      </c>
      <c r="E83" s="6">
        <v>44998463963</v>
      </c>
      <c r="F83" s="6"/>
      <c r="G83" s="6">
        <v>1</v>
      </c>
      <c r="H83" s="6"/>
      <c r="I83" s="5">
        <v>46099</v>
      </c>
      <c r="J83" s="6" t="s">
        <v>150</v>
      </c>
      <c r="K83" s="5"/>
      <c r="L83" s="7" t="s">
        <v>262</v>
      </c>
      <c r="M83" s="7"/>
      <c r="N83" s="6"/>
    </row>
    <row r="84" spans="1:14" s="12" customFormat="1" ht="12" x14ac:dyDescent="0.25">
      <c r="A84" s="5">
        <v>46091</v>
      </c>
      <c r="B84" s="10">
        <f ca="1">TODAY()-A84</f>
        <v>49</v>
      </c>
      <c r="C84" s="18">
        <v>1910056</v>
      </c>
      <c r="D84" s="13" t="s">
        <v>85</v>
      </c>
      <c r="E84" s="6">
        <v>31971342766</v>
      </c>
      <c r="F84" s="6"/>
      <c r="G84" s="6">
        <v>1</v>
      </c>
      <c r="H84" s="6"/>
      <c r="I84" s="5">
        <v>46099</v>
      </c>
      <c r="J84" s="6" t="s">
        <v>149</v>
      </c>
      <c r="K84" s="5"/>
      <c r="L84" s="7" t="s">
        <v>262</v>
      </c>
      <c r="M84" s="7"/>
      <c r="N84" s="6"/>
    </row>
    <row r="85" spans="1:14" s="12" customFormat="1" ht="12" x14ac:dyDescent="0.25">
      <c r="A85" s="5">
        <v>46092</v>
      </c>
      <c r="B85" s="10">
        <f ca="1">TODAY()-A85</f>
        <v>48</v>
      </c>
      <c r="C85" s="18">
        <v>1901521</v>
      </c>
      <c r="D85" s="13" t="s">
        <v>238</v>
      </c>
      <c r="E85" s="6">
        <v>91980580965</v>
      </c>
      <c r="F85" s="6" t="s">
        <v>197</v>
      </c>
      <c r="G85" s="6" t="s">
        <v>197</v>
      </c>
      <c r="H85" s="6" t="s">
        <v>197</v>
      </c>
      <c r="I85" s="6" t="s">
        <v>197</v>
      </c>
      <c r="J85" s="6" t="s">
        <v>197</v>
      </c>
      <c r="K85" s="6" t="s">
        <v>197</v>
      </c>
      <c r="L85" s="7" t="s">
        <v>262</v>
      </c>
      <c r="M85" s="7" t="s">
        <v>197</v>
      </c>
      <c r="N85" s="6" t="s">
        <v>197</v>
      </c>
    </row>
    <row r="86" spans="1:14" s="12" customFormat="1" ht="12" x14ac:dyDescent="0.25">
      <c r="A86" s="5">
        <v>46092</v>
      </c>
      <c r="B86" s="10">
        <f ca="1">TODAY()-A86</f>
        <v>48</v>
      </c>
      <c r="C86" s="18">
        <v>1910386</v>
      </c>
      <c r="D86" s="13" t="s">
        <v>97</v>
      </c>
      <c r="E86" s="6">
        <v>18991414754</v>
      </c>
      <c r="F86" s="6"/>
      <c r="G86" s="6">
        <v>1</v>
      </c>
      <c r="H86" s="6"/>
      <c r="I86" s="5">
        <v>46094</v>
      </c>
      <c r="J86" s="6" t="s">
        <v>157</v>
      </c>
      <c r="K86" s="5"/>
      <c r="L86" s="7" t="s">
        <v>262</v>
      </c>
      <c r="M86" s="7"/>
      <c r="N86" s="6"/>
    </row>
    <row r="87" spans="1:14" s="12" customFormat="1" ht="12" x14ac:dyDescent="0.25">
      <c r="A87" s="5">
        <v>46092</v>
      </c>
      <c r="B87" s="10">
        <f ca="1">TODAY()-A87</f>
        <v>48</v>
      </c>
      <c r="C87" s="6">
        <v>1910568</v>
      </c>
      <c r="D87" s="13" t="s">
        <v>93</v>
      </c>
      <c r="E87" s="6">
        <v>16996421772</v>
      </c>
      <c r="F87" s="6"/>
      <c r="G87" s="6">
        <v>1</v>
      </c>
      <c r="H87" s="6"/>
      <c r="I87" s="6"/>
      <c r="J87" s="6"/>
      <c r="K87" s="5"/>
      <c r="L87" s="7" t="s">
        <v>262</v>
      </c>
      <c r="M87" s="7"/>
      <c r="N87" s="6"/>
    </row>
    <row r="88" spans="1:14" s="12" customFormat="1" ht="12" x14ac:dyDescent="0.25">
      <c r="A88" s="5">
        <v>46092</v>
      </c>
      <c r="B88" s="10">
        <f ca="1">TODAY()-A88</f>
        <v>48</v>
      </c>
      <c r="C88" s="18">
        <v>1910581</v>
      </c>
      <c r="D88" s="13" t="s">
        <v>94</v>
      </c>
      <c r="E88" s="6">
        <v>18998047481</v>
      </c>
      <c r="F88" s="6" t="s">
        <v>197</v>
      </c>
      <c r="G88" s="6" t="s">
        <v>197</v>
      </c>
      <c r="H88" s="6" t="s">
        <v>197</v>
      </c>
      <c r="I88" s="6" t="s">
        <v>197</v>
      </c>
      <c r="J88" s="6" t="s">
        <v>197</v>
      </c>
      <c r="K88" s="6"/>
      <c r="L88" s="7" t="s">
        <v>262</v>
      </c>
      <c r="M88" s="7" t="s">
        <v>197</v>
      </c>
      <c r="N88" s="6" t="s">
        <v>197</v>
      </c>
    </row>
    <row r="89" spans="1:14" s="12" customFormat="1" ht="12" x14ac:dyDescent="0.25">
      <c r="A89" s="5">
        <v>46092</v>
      </c>
      <c r="B89" s="10">
        <f ca="1">TODAY()-A89</f>
        <v>48</v>
      </c>
      <c r="C89" s="18">
        <v>1910583</v>
      </c>
      <c r="D89" s="13" t="s">
        <v>103</v>
      </c>
      <c r="E89" s="6">
        <v>64984346080</v>
      </c>
      <c r="F89" s="6" t="s">
        <v>197</v>
      </c>
      <c r="G89" s="6" t="s">
        <v>197</v>
      </c>
      <c r="H89" s="6" t="s">
        <v>197</v>
      </c>
      <c r="I89" s="6" t="s">
        <v>197</v>
      </c>
      <c r="J89" s="6" t="s">
        <v>197</v>
      </c>
      <c r="K89" s="6" t="s">
        <v>197</v>
      </c>
      <c r="L89" s="7" t="s">
        <v>262</v>
      </c>
      <c r="M89" s="7" t="s">
        <v>197</v>
      </c>
      <c r="N89" s="6" t="s">
        <v>197</v>
      </c>
    </row>
    <row r="90" spans="1:14" s="12" customFormat="1" ht="12" x14ac:dyDescent="0.25">
      <c r="A90" s="5">
        <v>46093</v>
      </c>
      <c r="B90" s="10">
        <f ca="1">TODAY()-A90</f>
        <v>47</v>
      </c>
      <c r="C90" s="18">
        <v>1910821</v>
      </c>
      <c r="D90" s="13" t="s">
        <v>119</v>
      </c>
      <c r="E90" s="6">
        <v>21970214450</v>
      </c>
      <c r="F90" s="6" t="s">
        <v>197</v>
      </c>
      <c r="G90" s="6" t="s">
        <v>197</v>
      </c>
      <c r="H90" s="6" t="s">
        <v>197</v>
      </c>
      <c r="I90" s="6" t="s">
        <v>197</v>
      </c>
      <c r="J90" s="6" t="s">
        <v>197</v>
      </c>
      <c r="K90" s="6" t="s">
        <v>197</v>
      </c>
      <c r="L90" s="7" t="s">
        <v>262</v>
      </c>
      <c r="M90" s="7" t="s">
        <v>197</v>
      </c>
      <c r="N90" s="6" t="s">
        <v>197</v>
      </c>
    </row>
    <row r="91" spans="1:14" s="12" customFormat="1" ht="12" x14ac:dyDescent="0.25">
      <c r="A91" s="5">
        <v>46093</v>
      </c>
      <c r="B91" s="10">
        <f ca="1">TODAY()-A91</f>
        <v>47</v>
      </c>
      <c r="C91" s="18">
        <v>1910973</v>
      </c>
      <c r="D91" s="13" t="s">
        <v>109</v>
      </c>
      <c r="E91" s="6">
        <v>32991591441</v>
      </c>
      <c r="F91" s="6"/>
      <c r="G91" s="6">
        <v>1</v>
      </c>
      <c r="H91" s="6"/>
      <c r="I91" s="6"/>
      <c r="J91" s="6"/>
      <c r="K91" s="5">
        <v>46106</v>
      </c>
      <c r="L91" s="7" t="s">
        <v>262</v>
      </c>
      <c r="M91" s="7"/>
      <c r="N91" s="6"/>
    </row>
    <row r="92" spans="1:14" s="12" customFormat="1" ht="12" x14ac:dyDescent="0.25">
      <c r="A92" s="5">
        <v>46093</v>
      </c>
      <c r="B92" s="10">
        <f ca="1">TODAY()-A92</f>
        <v>47</v>
      </c>
      <c r="C92" s="18">
        <v>1910983</v>
      </c>
      <c r="D92" s="13" t="s">
        <v>110</v>
      </c>
      <c r="E92" s="6" t="s">
        <v>310</v>
      </c>
      <c r="F92" s="6"/>
      <c r="G92" s="6">
        <v>1</v>
      </c>
      <c r="H92" s="6"/>
      <c r="I92" s="6"/>
      <c r="J92" s="6"/>
      <c r="K92" s="5">
        <v>46106</v>
      </c>
      <c r="L92" s="7" t="s">
        <v>262</v>
      </c>
      <c r="M92" s="7"/>
      <c r="N92" s="6"/>
    </row>
    <row r="93" spans="1:14" s="12" customFormat="1" ht="12" x14ac:dyDescent="0.25">
      <c r="A93" s="5">
        <v>46093</v>
      </c>
      <c r="B93" s="10">
        <f ca="1">TODAY()-A93</f>
        <v>47</v>
      </c>
      <c r="C93" s="18">
        <v>1911046</v>
      </c>
      <c r="D93" s="13" t="s">
        <v>111</v>
      </c>
      <c r="E93" s="6">
        <v>46999767751</v>
      </c>
      <c r="F93" s="6" t="s">
        <v>197</v>
      </c>
      <c r="G93" s="6" t="s">
        <v>197</v>
      </c>
      <c r="H93" s="6" t="s">
        <v>197</v>
      </c>
      <c r="I93" s="6" t="s">
        <v>197</v>
      </c>
      <c r="J93" s="6" t="s">
        <v>197</v>
      </c>
      <c r="K93" s="6" t="s">
        <v>197</v>
      </c>
      <c r="L93" s="7" t="s">
        <v>262</v>
      </c>
      <c r="M93" s="7" t="s">
        <v>197</v>
      </c>
      <c r="N93" s="6" t="s">
        <v>197</v>
      </c>
    </row>
    <row r="94" spans="1:14" s="12" customFormat="1" ht="12" x14ac:dyDescent="0.25">
      <c r="A94" s="5">
        <v>46094</v>
      </c>
      <c r="B94" s="10">
        <f ca="1">TODAY()-A94</f>
        <v>46</v>
      </c>
      <c r="C94" s="18">
        <v>1911377</v>
      </c>
      <c r="D94" s="13" t="s">
        <v>132</v>
      </c>
      <c r="E94" s="6">
        <v>11942704488</v>
      </c>
      <c r="F94" s="6"/>
      <c r="G94" s="6">
        <v>1</v>
      </c>
      <c r="H94" s="6"/>
      <c r="I94" s="5">
        <v>46097</v>
      </c>
      <c r="J94" s="6"/>
      <c r="K94" s="5">
        <v>46106</v>
      </c>
      <c r="L94" s="7" t="s">
        <v>262</v>
      </c>
      <c r="M94" s="7"/>
      <c r="N94" s="6"/>
    </row>
    <row r="95" spans="1:14" s="12" customFormat="1" ht="12" x14ac:dyDescent="0.25">
      <c r="A95" s="5">
        <v>46094</v>
      </c>
      <c r="B95" s="10">
        <f ca="1">TODAY()-A95</f>
        <v>46</v>
      </c>
      <c r="C95" s="18">
        <v>1911399</v>
      </c>
      <c r="D95" s="13" t="s">
        <v>122</v>
      </c>
      <c r="E95" s="6">
        <v>19997220174</v>
      </c>
      <c r="F95" s="6"/>
      <c r="G95" s="6">
        <v>1</v>
      </c>
      <c r="H95" s="6"/>
      <c r="I95" s="5">
        <v>46097</v>
      </c>
      <c r="J95" s="6" t="s">
        <v>159</v>
      </c>
      <c r="K95" s="5">
        <v>46106</v>
      </c>
      <c r="L95" s="7" t="s">
        <v>262</v>
      </c>
      <c r="M95" s="7"/>
      <c r="N95" s="6"/>
    </row>
    <row r="96" spans="1:14" s="12" customFormat="1" ht="12" x14ac:dyDescent="0.25">
      <c r="A96" s="5">
        <v>46094</v>
      </c>
      <c r="B96" s="10">
        <f ca="1">TODAY()-A96</f>
        <v>46</v>
      </c>
      <c r="C96" s="6">
        <v>1911436</v>
      </c>
      <c r="D96" s="13" t="s">
        <v>121</v>
      </c>
      <c r="E96" s="6">
        <v>83996757886</v>
      </c>
      <c r="F96" s="6"/>
      <c r="G96" s="6">
        <v>1</v>
      </c>
      <c r="H96" s="6"/>
      <c r="I96" s="6"/>
      <c r="J96" s="6"/>
      <c r="K96" s="5">
        <v>46106</v>
      </c>
      <c r="L96" s="7" t="s">
        <v>262</v>
      </c>
      <c r="M96" s="7"/>
      <c r="N96" s="6"/>
    </row>
    <row r="97" spans="1:14" s="12" customFormat="1" ht="12" x14ac:dyDescent="0.25">
      <c r="A97" s="5">
        <v>46094</v>
      </c>
      <c r="B97" s="10">
        <f ca="1">TODAY()-A97</f>
        <v>46</v>
      </c>
      <c r="C97" s="18">
        <v>1911442</v>
      </c>
      <c r="D97" s="13" t="s">
        <v>135</v>
      </c>
      <c r="E97" s="6">
        <v>18981441516</v>
      </c>
      <c r="F97" s="6"/>
      <c r="G97" s="6">
        <v>1</v>
      </c>
      <c r="H97" s="6"/>
      <c r="I97" s="5">
        <v>46097</v>
      </c>
      <c r="J97" s="6" t="s">
        <v>153</v>
      </c>
      <c r="K97" s="5">
        <v>46106</v>
      </c>
      <c r="L97" s="7" t="s">
        <v>262</v>
      </c>
      <c r="M97" s="7"/>
      <c r="N97" s="6"/>
    </row>
    <row r="98" spans="1:14" s="12" customFormat="1" ht="12" x14ac:dyDescent="0.25">
      <c r="A98" s="5">
        <v>46094</v>
      </c>
      <c r="B98" s="10">
        <f ca="1">TODAY()-A98</f>
        <v>46</v>
      </c>
      <c r="C98" s="6">
        <v>1911584</v>
      </c>
      <c r="D98" s="13" t="s">
        <v>130</v>
      </c>
      <c r="E98" s="6">
        <v>67996172860</v>
      </c>
      <c r="F98" s="6"/>
      <c r="G98" s="6">
        <v>1</v>
      </c>
      <c r="H98" s="6"/>
      <c r="I98" s="6"/>
      <c r="J98" s="6"/>
      <c r="K98" s="5">
        <v>46106</v>
      </c>
      <c r="L98" s="7" t="s">
        <v>262</v>
      </c>
      <c r="M98" s="7"/>
      <c r="N98" s="6"/>
    </row>
    <row r="99" spans="1:14" s="12" customFormat="1" ht="12" x14ac:dyDescent="0.25">
      <c r="A99" s="5">
        <v>46097</v>
      </c>
      <c r="B99" s="10">
        <f ca="1">TODAY()-A99</f>
        <v>43</v>
      </c>
      <c r="C99" s="6">
        <v>1911766</v>
      </c>
      <c r="D99" s="13" t="s">
        <v>145</v>
      </c>
      <c r="E99" s="6">
        <v>53991691682</v>
      </c>
      <c r="F99" s="6"/>
      <c r="G99" s="6">
        <v>1</v>
      </c>
      <c r="H99" s="6"/>
      <c r="I99" s="5">
        <v>46098</v>
      </c>
      <c r="J99" s="6" t="s">
        <v>148</v>
      </c>
      <c r="K99" s="5">
        <v>46107</v>
      </c>
      <c r="L99" s="7" t="s">
        <v>262</v>
      </c>
      <c r="M99" s="7"/>
      <c r="N99" s="6"/>
    </row>
    <row r="100" spans="1:14" s="12" customFormat="1" ht="12" x14ac:dyDescent="0.25">
      <c r="A100" s="5">
        <v>46097</v>
      </c>
      <c r="B100" s="10">
        <f ca="1">TODAY()-A100</f>
        <v>43</v>
      </c>
      <c r="C100" s="6">
        <v>1911776</v>
      </c>
      <c r="D100" s="13" t="s">
        <v>138</v>
      </c>
      <c r="E100" s="6">
        <v>62985653213</v>
      </c>
      <c r="F100" s="6"/>
      <c r="G100" s="6">
        <v>1</v>
      </c>
      <c r="H100" s="6"/>
      <c r="I100" s="5">
        <v>46099</v>
      </c>
      <c r="J100" s="6" t="s">
        <v>152</v>
      </c>
      <c r="K100" s="5">
        <v>46107</v>
      </c>
      <c r="L100" s="7" t="s">
        <v>262</v>
      </c>
      <c r="M100" s="7"/>
      <c r="N100" s="6"/>
    </row>
    <row r="101" spans="1:14" s="12" customFormat="1" ht="12" x14ac:dyDescent="0.25">
      <c r="A101" s="5">
        <v>46097</v>
      </c>
      <c r="B101" s="10">
        <f ca="1">TODAY()-A101</f>
        <v>43</v>
      </c>
      <c r="C101" s="6">
        <v>1911861</v>
      </c>
      <c r="D101" s="13" t="s">
        <v>141</v>
      </c>
      <c r="E101" s="6">
        <v>99999874885</v>
      </c>
      <c r="F101" s="6"/>
      <c r="G101" s="6">
        <v>1</v>
      </c>
      <c r="H101" s="6"/>
      <c r="I101" s="6"/>
      <c r="J101" s="6"/>
      <c r="K101" s="5">
        <v>46107</v>
      </c>
      <c r="L101" s="7" t="s">
        <v>262</v>
      </c>
      <c r="M101" s="7"/>
      <c r="N101" s="6"/>
    </row>
    <row r="102" spans="1:14" s="12" customFormat="1" ht="12" x14ac:dyDescent="0.25">
      <c r="A102" s="5">
        <v>46097</v>
      </c>
      <c r="B102" s="10">
        <f ca="1">TODAY()-A102</f>
        <v>43</v>
      </c>
      <c r="C102" s="6">
        <v>1911867</v>
      </c>
      <c r="D102" s="13" t="s">
        <v>140</v>
      </c>
      <c r="E102" s="6">
        <v>11969471037</v>
      </c>
      <c r="F102" s="6"/>
      <c r="G102" s="6">
        <v>1</v>
      </c>
      <c r="H102" s="6"/>
      <c r="I102" s="5">
        <v>46101</v>
      </c>
      <c r="J102" s="6" t="s">
        <v>167</v>
      </c>
      <c r="K102" s="5">
        <v>46107</v>
      </c>
      <c r="L102" s="7" t="s">
        <v>262</v>
      </c>
      <c r="M102" s="7"/>
      <c r="N102" s="6"/>
    </row>
    <row r="103" spans="1:14" s="12" customFormat="1" ht="12" x14ac:dyDescent="0.25">
      <c r="A103" s="5">
        <v>46097</v>
      </c>
      <c r="B103" s="10">
        <f ca="1">TODAY()-A103</f>
        <v>43</v>
      </c>
      <c r="C103" s="6">
        <v>1911947</v>
      </c>
      <c r="D103" s="13" t="s">
        <v>142</v>
      </c>
      <c r="E103" s="6">
        <v>16991122354</v>
      </c>
      <c r="F103" s="6"/>
      <c r="G103" s="6">
        <v>1</v>
      </c>
      <c r="H103" s="6"/>
      <c r="I103" s="5">
        <v>46101</v>
      </c>
      <c r="J103" s="6" t="s">
        <v>165</v>
      </c>
      <c r="K103" s="5">
        <v>46107</v>
      </c>
      <c r="L103" s="7" t="s">
        <v>262</v>
      </c>
      <c r="M103" s="7"/>
      <c r="N103" s="6"/>
    </row>
    <row r="104" spans="1:14" s="12" customFormat="1" ht="12" x14ac:dyDescent="0.25">
      <c r="A104" s="5">
        <v>46097</v>
      </c>
      <c r="B104" s="10">
        <f ca="1">TODAY()-A104</f>
        <v>43</v>
      </c>
      <c r="C104" s="6">
        <v>1912004</v>
      </c>
      <c r="D104" s="13" t="s">
        <v>136</v>
      </c>
      <c r="E104" s="6">
        <v>18991002619</v>
      </c>
      <c r="F104" s="6"/>
      <c r="G104" s="6">
        <v>1</v>
      </c>
      <c r="H104" s="5"/>
      <c r="I104" s="5">
        <v>46100</v>
      </c>
      <c r="J104" s="6" t="s">
        <v>161</v>
      </c>
      <c r="K104" s="5">
        <v>46107</v>
      </c>
      <c r="L104" s="7" t="s">
        <v>262</v>
      </c>
      <c r="M104" s="7"/>
      <c r="N104" s="6"/>
    </row>
    <row r="105" spans="1:14" s="12" customFormat="1" ht="12" x14ac:dyDescent="0.25">
      <c r="A105" s="5">
        <v>46097</v>
      </c>
      <c r="B105" s="10">
        <f ca="1">TODAY()-A105</f>
        <v>43</v>
      </c>
      <c r="C105" s="6">
        <v>1912009</v>
      </c>
      <c r="D105" s="13" t="s">
        <v>139</v>
      </c>
      <c r="E105" s="6">
        <v>47996053319</v>
      </c>
      <c r="F105" s="6"/>
      <c r="G105" s="6">
        <v>1</v>
      </c>
      <c r="H105" s="5"/>
      <c r="I105" s="5">
        <v>46101</v>
      </c>
      <c r="J105" s="6" t="s">
        <v>148</v>
      </c>
      <c r="K105" s="5">
        <v>46107</v>
      </c>
      <c r="L105" s="7" t="s">
        <v>262</v>
      </c>
      <c r="M105" s="7"/>
      <c r="N105" s="6"/>
    </row>
    <row r="106" spans="1:14" s="12" customFormat="1" ht="12" x14ac:dyDescent="0.25">
      <c r="A106" s="5">
        <v>46097</v>
      </c>
      <c r="B106" s="10">
        <f ca="1">TODAY()-A106</f>
        <v>43</v>
      </c>
      <c r="C106" s="6">
        <v>1912014</v>
      </c>
      <c r="D106" s="13" t="s">
        <v>144</v>
      </c>
      <c r="E106" s="6">
        <v>21992713817</v>
      </c>
      <c r="F106" s="6"/>
      <c r="G106" s="6">
        <v>1</v>
      </c>
      <c r="H106" s="5"/>
      <c r="I106" s="5">
        <v>46100</v>
      </c>
      <c r="J106" s="6" t="s">
        <v>166</v>
      </c>
      <c r="K106" s="5">
        <v>46107</v>
      </c>
      <c r="L106" s="7" t="s">
        <v>262</v>
      </c>
      <c r="M106" s="7"/>
      <c r="N106" s="6"/>
    </row>
    <row r="107" spans="1:14" s="12" customFormat="1" ht="12" x14ac:dyDescent="0.25">
      <c r="A107" s="5">
        <v>46083</v>
      </c>
      <c r="B107" s="10">
        <f ca="1">TODAY()-A107</f>
        <v>57</v>
      </c>
      <c r="C107" s="6">
        <v>1906783</v>
      </c>
      <c r="D107" s="13" t="s">
        <v>5</v>
      </c>
      <c r="E107" s="6">
        <v>18996515053</v>
      </c>
      <c r="F107" s="6" t="s">
        <v>187</v>
      </c>
      <c r="G107" s="6">
        <v>1</v>
      </c>
      <c r="H107" s="5">
        <v>46084</v>
      </c>
      <c r="I107" s="5">
        <v>46085</v>
      </c>
      <c r="J107" s="6" t="s">
        <v>165</v>
      </c>
      <c r="K107" s="5">
        <v>46085</v>
      </c>
      <c r="L107" s="7" t="s">
        <v>60</v>
      </c>
      <c r="M107" s="7" t="s">
        <v>194</v>
      </c>
      <c r="N107" s="6"/>
    </row>
    <row r="108" spans="1:14" s="12" customFormat="1" ht="12" x14ac:dyDescent="0.25">
      <c r="A108" s="5">
        <v>46083</v>
      </c>
      <c r="B108" s="10">
        <f ca="1">TODAY()-A108</f>
        <v>57</v>
      </c>
      <c r="C108" s="6">
        <v>1906790</v>
      </c>
      <c r="D108" s="13" t="s">
        <v>6</v>
      </c>
      <c r="E108" s="6">
        <v>48998101161</v>
      </c>
      <c r="F108" s="6" t="s">
        <v>186</v>
      </c>
      <c r="G108" s="6">
        <v>1</v>
      </c>
      <c r="H108" s="5">
        <v>46086</v>
      </c>
      <c r="I108" s="5">
        <v>46100</v>
      </c>
      <c r="J108" s="6" t="s">
        <v>152</v>
      </c>
      <c r="K108" s="5">
        <v>46100</v>
      </c>
      <c r="L108" s="7" t="s">
        <v>60</v>
      </c>
      <c r="M108" s="7" t="s">
        <v>194</v>
      </c>
      <c r="N108" s="6"/>
    </row>
    <row r="109" spans="1:14" s="12" customFormat="1" ht="12" x14ac:dyDescent="0.25">
      <c r="A109" s="5">
        <v>46083</v>
      </c>
      <c r="B109" s="10">
        <f ca="1">TODAY()-A109</f>
        <v>57</v>
      </c>
      <c r="C109" s="6">
        <v>1906804</v>
      </c>
      <c r="D109" s="13" t="s">
        <v>0</v>
      </c>
      <c r="E109" s="6">
        <v>34999726199</v>
      </c>
      <c r="F109" s="6" t="s">
        <v>186</v>
      </c>
      <c r="G109" s="6">
        <v>1</v>
      </c>
      <c r="H109" s="5">
        <v>46113</v>
      </c>
      <c r="I109" s="5">
        <v>46085</v>
      </c>
      <c r="J109" s="6" t="s">
        <v>163</v>
      </c>
      <c r="K109" s="5">
        <v>46120</v>
      </c>
      <c r="L109" s="7" t="s">
        <v>60</v>
      </c>
      <c r="M109" s="7" t="s">
        <v>194</v>
      </c>
      <c r="N109" s="6"/>
    </row>
    <row r="110" spans="1:14" s="12" customFormat="1" ht="12" x14ac:dyDescent="0.25">
      <c r="A110" s="5">
        <v>46083</v>
      </c>
      <c r="B110" s="10">
        <f ca="1">TODAY()-A110</f>
        <v>57</v>
      </c>
      <c r="C110" s="6">
        <v>1906806</v>
      </c>
      <c r="D110" s="13" t="s">
        <v>1</v>
      </c>
      <c r="E110" s="6">
        <v>1691784030</v>
      </c>
      <c r="F110" s="6" t="s">
        <v>196</v>
      </c>
      <c r="G110" s="6">
        <v>1</v>
      </c>
      <c r="H110" s="5">
        <v>46084</v>
      </c>
      <c r="I110" s="5">
        <v>46097</v>
      </c>
      <c r="J110" s="6" t="s">
        <v>165</v>
      </c>
      <c r="K110" s="5">
        <v>46097</v>
      </c>
      <c r="L110" s="7" t="s">
        <v>60</v>
      </c>
      <c r="M110" s="7" t="s">
        <v>194</v>
      </c>
      <c r="N110" s="6"/>
    </row>
    <row r="111" spans="1:14" s="12" customFormat="1" ht="12" x14ac:dyDescent="0.25">
      <c r="A111" s="5">
        <v>46083</v>
      </c>
      <c r="B111" s="10">
        <f ca="1">TODAY()-A111</f>
        <v>57</v>
      </c>
      <c r="C111" s="6">
        <v>1906860</v>
      </c>
      <c r="D111" s="13" t="s">
        <v>7</v>
      </c>
      <c r="E111" s="6">
        <v>18991425747</v>
      </c>
      <c r="F111" s="6" t="s">
        <v>187</v>
      </c>
      <c r="G111" s="6">
        <v>1</v>
      </c>
      <c r="H111" s="5">
        <v>46084</v>
      </c>
      <c r="I111" s="5">
        <v>46085</v>
      </c>
      <c r="J111" s="6" t="s">
        <v>198</v>
      </c>
      <c r="K111" s="5">
        <v>46093</v>
      </c>
      <c r="L111" s="7" t="s">
        <v>60</v>
      </c>
      <c r="M111" s="7" t="s">
        <v>194</v>
      </c>
      <c r="N111" s="6"/>
    </row>
    <row r="112" spans="1:14" s="12" customFormat="1" ht="12" x14ac:dyDescent="0.25">
      <c r="A112" s="5">
        <v>46083</v>
      </c>
      <c r="B112" s="10">
        <f ca="1">TODAY()-A112</f>
        <v>57</v>
      </c>
      <c r="C112" s="6">
        <v>1906864</v>
      </c>
      <c r="D112" s="13" t="s">
        <v>3</v>
      </c>
      <c r="E112" s="6">
        <v>17997166135</v>
      </c>
      <c r="F112" s="6" t="s">
        <v>185</v>
      </c>
      <c r="G112" s="6">
        <v>1</v>
      </c>
      <c r="H112" s="5">
        <v>46084</v>
      </c>
      <c r="I112" s="5">
        <v>46085</v>
      </c>
      <c r="J112" s="6" t="s">
        <v>175</v>
      </c>
      <c r="K112" s="5">
        <v>46085</v>
      </c>
      <c r="L112" s="7" t="s">
        <v>60</v>
      </c>
      <c r="M112" s="7" t="s">
        <v>194</v>
      </c>
      <c r="N112" s="6"/>
    </row>
    <row r="113" spans="1:14" s="12" customFormat="1" ht="12" x14ac:dyDescent="0.25">
      <c r="A113" s="5">
        <v>46083</v>
      </c>
      <c r="B113" s="10">
        <f ca="1">TODAY()-A113</f>
        <v>57</v>
      </c>
      <c r="C113" s="6">
        <v>1907029</v>
      </c>
      <c r="D113" s="13" t="s">
        <v>8</v>
      </c>
      <c r="E113" s="6">
        <v>51997802852</v>
      </c>
      <c r="F113" s="6" t="s">
        <v>185</v>
      </c>
      <c r="G113" s="6">
        <v>1</v>
      </c>
      <c r="H113" s="5">
        <v>46086</v>
      </c>
      <c r="I113" s="5">
        <v>46097</v>
      </c>
      <c r="J113" s="6" t="s">
        <v>198</v>
      </c>
      <c r="K113" s="5">
        <v>46097</v>
      </c>
      <c r="L113" s="7" t="s">
        <v>60</v>
      </c>
      <c r="M113" s="7" t="s">
        <v>194</v>
      </c>
      <c r="N113" s="6"/>
    </row>
    <row r="114" spans="1:14" s="12" customFormat="1" ht="12" x14ac:dyDescent="0.25">
      <c r="A114" s="5">
        <v>46084</v>
      </c>
      <c r="B114" s="10">
        <f ca="1">TODAY()-A114</f>
        <v>56</v>
      </c>
      <c r="C114" s="6">
        <v>1907004</v>
      </c>
      <c r="D114" s="13" t="s">
        <v>75</v>
      </c>
      <c r="E114" s="6">
        <v>22988241949</v>
      </c>
      <c r="F114" s="6" t="s">
        <v>185</v>
      </c>
      <c r="G114" s="6">
        <v>1</v>
      </c>
      <c r="H114" s="5">
        <v>46086</v>
      </c>
      <c r="I114" s="5">
        <v>46092</v>
      </c>
      <c r="J114" s="6" t="s">
        <v>165</v>
      </c>
      <c r="K114" s="5">
        <v>46092</v>
      </c>
      <c r="L114" s="7" t="s">
        <v>60</v>
      </c>
      <c r="M114" s="7" t="s">
        <v>194</v>
      </c>
      <c r="N114" s="6"/>
    </row>
    <row r="115" spans="1:14" s="12" customFormat="1" ht="12" x14ac:dyDescent="0.25">
      <c r="A115" s="5">
        <v>46084</v>
      </c>
      <c r="B115" s="10">
        <f ca="1">TODAY()-A115</f>
        <v>56</v>
      </c>
      <c r="C115" s="6">
        <v>1907206</v>
      </c>
      <c r="D115" s="13" t="s">
        <v>9</v>
      </c>
      <c r="E115" s="6">
        <v>44999158332</v>
      </c>
      <c r="F115" s="6" t="s">
        <v>196</v>
      </c>
      <c r="G115" s="6">
        <v>1</v>
      </c>
      <c r="H115" s="5">
        <v>46085</v>
      </c>
      <c r="I115" s="5">
        <v>46086</v>
      </c>
      <c r="J115" s="6" t="s">
        <v>165</v>
      </c>
      <c r="K115" s="8">
        <v>46086</v>
      </c>
      <c r="L115" s="7" t="s">
        <v>60</v>
      </c>
      <c r="M115" s="7" t="s">
        <v>194</v>
      </c>
      <c r="N115" s="6"/>
    </row>
    <row r="116" spans="1:14" s="12" customFormat="1" ht="12" x14ac:dyDescent="0.25">
      <c r="A116" s="5">
        <v>46084</v>
      </c>
      <c r="B116" s="10">
        <f ca="1">TODAY()-A116</f>
        <v>56</v>
      </c>
      <c r="C116" s="6">
        <v>1907215</v>
      </c>
      <c r="D116" s="13" t="s">
        <v>10</v>
      </c>
      <c r="E116" s="6">
        <v>18991220550</v>
      </c>
      <c r="F116" s="6" t="s">
        <v>185</v>
      </c>
      <c r="G116" s="6">
        <v>1</v>
      </c>
      <c r="H116" s="5">
        <v>46084</v>
      </c>
      <c r="I116" s="5">
        <v>46085</v>
      </c>
      <c r="J116" s="6" t="s">
        <v>165</v>
      </c>
      <c r="K116" s="5">
        <v>46085</v>
      </c>
      <c r="L116" s="7" t="s">
        <v>60</v>
      </c>
      <c r="M116" s="7" t="s">
        <v>194</v>
      </c>
      <c r="N116" s="6"/>
    </row>
    <row r="117" spans="1:14" s="12" customFormat="1" ht="12" x14ac:dyDescent="0.25">
      <c r="A117" s="5">
        <v>46084</v>
      </c>
      <c r="B117" s="10">
        <f ca="1">TODAY()-A117</f>
        <v>56</v>
      </c>
      <c r="C117" s="6">
        <v>1907414</v>
      </c>
      <c r="D117" s="13" t="s">
        <v>13</v>
      </c>
      <c r="E117" s="6">
        <v>16992313443</v>
      </c>
      <c r="F117" s="6" t="s">
        <v>191</v>
      </c>
      <c r="G117" s="6">
        <v>1</v>
      </c>
      <c r="H117" s="5">
        <v>46084</v>
      </c>
      <c r="I117" s="5">
        <v>46085</v>
      </c>
      <c r="J117" s="5" t="s">
        <v>165</v>
      </c>
      <c r="K117" s="5">
        <v>46086</v>
      </c>
      <c r="L117" s="7" t="s">
        <v>60</v>
      </c>
      <c r="M117" s="7" t="s">
        <v>193</v>
      </c>
      <c r="N117" s="6"/>
    </row>
    <row r="118" spans="1:14" s="12" customFormat="1" ht="12" x14ac:dyDescent="0.25">
      <c r="A118" s="5">
        <v>46084</v>
      </c>
      <c r="B118" s="10">
        <f ca="1">TODAY()-A118</f>
        <v>56</v>
      </c>
      <c r="C118" s="6">
        <v>1907428</v>
      </c>
      <c r="D118" s="13" t="s">
        <v>190</v>
      </c>
      <c r="E118" s="6">
        <v>51995068944</v>
      </c>
      <c r="F118" s="6" t="s">
        <v>259</v>
      </c>
      <c r="G118" s="6">
        <v>3</v>
      </c>
      <c r="H118" s="5">
        <v>46113</v>
      </c>
      <c r="I118" s="5">
        <v>46106</v>
      </c>
      <c r="J118" s="6" t="s">
        <v>165</v>
      </c>
      <c r="K118" s="5">
        <v>46118</v>
      </c>
      <c r="L118" s="7" t="s">
        <v>60</v>
      </c>
      <c r="M118" s="7" t="s">
        <v>194</v>
      </c>
      <c r="N118" s="6"/>
    </row>
    <row r="119" spans="1:14" s="12" customFormat="1" ht="12" x14ac:dyDescent="0.25">
      <c r="A119" s="5">
        <v>46084</v>
      </c>
      <c r="B119" s="10">
        <f ca="1">TODAY()-A119</f>
        <v>56</v>
      </c>
      <c r="C119" s="6">
        <v>1907539</v>
      </c>
      <c r="D119" s="13" t="s">
        <v>14</v>
      </c>
      <c r="E119" s="6">
        <v>18974001798</v>
      </c>
      <c r="F119" s="6" t="s">
        <v>260</v>
      </c>
      <c r="G119" s="6">
        <v>2</v>
      </c>
      <c r="H119" s="5">
        <v>46084</v>
      </c>
      <c r="I119" s="5">
        <v>46085</v>
      </c>
      <c r="J119" s="6" t="s">
        <v>165</v>
      </c>
      <c r="K119" s="5">
        <v>46085</v>
      </c>
      <c r="L119" s="7" t="s">
        <v>60</v>
      </c>
      <c r="M119" s="7" t="s">
        <v>194</v>
      </c>
      <c r="N119" s="6"/>
    </row>
    <row r="120" spans="1:14" s="12" customFormat="1" ht="12" x14ac:dyDescent="0.25">
      <c r="A120" s="5">
        <v>46084</v>
      </c>
      <c r="B120" s="10">
        <f ca="1">TODAY()-A120</f>
        <v>56</v>
      </c>
      <c r="C120" s="6">
        <v>1907541</v>
      </c>
      <c r="D120" s="13" t="s">
        <v>15</v>
      </c>
      <c r="E120" s="6">
        <v>54991908313</v>
      </c>
      <c r="F120" s="6" t="s">
        <v>185</v>
      </c>
      <c r="G120" s="6">
        <v>1</v>
      </c>
      <c r="H120" s="5">
        <v>46086</v>
      </c>
      <c r="I120" s="5">
        <v>46121</v>
      </c>
      <c r="J120" s="6" t="s">
        <v>165</v>
      </c>
      <c r="K120" s="5">
        <v>46121</v>
      </c>
      <c r="L120" s="7" t="s">
        <v>60</v>
      </c>
      <c r="M120" s="7" t="s">
        <v>194</v>
      </c>
      <c r="N120" s="6"/>
    </row>
    <row r="121" spans="1:14" s="12" customFormat="1" ht="12" x14ac:dyDescent="0.25">
      <c r="A121" s="5">
        <v>46084</v>
      </c>
      <c r="B121" s="10">
        <f ca="1">TODAY()-A121</f>
        <v>56</v>
      </c>
      <c r="C121" s="6">
        <v>1907675</v>
      </c>
      <c r="D121" s="13" t="s">
        <v>16</v>
      </c>
      <c r="E121" s="6">
        <v>47997349367</v>
      </c>
      <c r="F121" s="6" t="s">
        <v>307</v>
      </c>
      <c r="G121" s="6">
        <v>1</v>
      </c>
      <c r="H121" s="5">
        <v>46113</v>
      </c>
      <c r="I121" s="5">
        <v>46113</v>
      </c>
      <c r="J121" s="6" t="s">
        <v>165</v>
      </c>
      <c r="K121" s="5">
        <v>46121</v>
      </c>
      <c r="L121" s="7" t="s">
        <v>60</v>
      </c>
      <c r="M121" s="7" t="s">
        <v>194</v>
      </c>
      <c r="N121" s="6"/>
    </row>
    <row r="122" spans="1:14" s="12" customFormat="1" ht="12" x14ac:dyDescent="0.25">
      <c r="A122" s="5">
        <v>46085</v>
      </c>
      <c r="B122" s="10">
        <f ca="1">TODAY()-A122</f>
        <v>55</v>
      </c>
      <c r="C122" s="6">
        <v>1907538</v>
      </c>
      <c r="D122" s="13" t="s">
        <v>23</v>
      </c>
      <c r="E122" s="6">
        <v>46991108415</v>
      </c>
      <c r="F122" s="6" t="s">
        <v>196</v>
      </c>
      <c r="G122" s="6">
        <v>1</v>
      </c>
      <c r="H122" s="5">
        <v>46094</v>
      </c>
      <c r="I122" s="5">
        <v>46094</v>
      </c>
      <c r="J122" s="6" t="s">
        <v>243</v>
      </c>
      <c r="K122" s="5">
        <v>46094</v>
      </c>
      <c r="L122" s="7" t="s">
        <v>60</v>
      </c>
      <c r="M122" s="7" t="s">
        <v>194</v>
      </c>
      <c r="N122" s="6" t="s">
        <v>197</v>
      </c>
    </row>
    <row r="123" spans="1:14" s="12" customFormat="1" ht="12" x14ac:dyDescent="0.25">
      <c r="A123" s="5">
        <v>46085</v>
      </c>
      <c r="B123" s="10">
        <f ca="1">TODAY()-A123</f>
        <v>55</v>
      </c>
      <c r="C123" s="6">
        <v>1907636</v>
      </c>
      <c r="D123" s="13" t="s">
        <v>20</v>
      </c>
      <c r="E123" s="6">
        <v>48988674550</v>
      </c>
      <c r="F123" s="6" t="s">
        <v>196</v>
      </c>
      <c r="G123" s="6">
        <v>1</v>
      </c>
      <c r="H123" s="5">
        <v>46118</v>
      </c>
      <c r="I123" s="5">
        <v>46118</v>
      </c>
      <c r="J123" s="6" t="s">
        <v>165</v>
      </c>
      <c r="K123" s="5">
        <v>46125</v>
      </c>
      <c r="L123" s="7" t="s">
        <v>60</v>
      </c>
      <c r="M123" s="7" t="s">
        <v>194</v>
      </c>
      <c r="N123" s="6" t="s">
        <v>197</v>
      </c>
    </row>
    <row r="124" spans="1:14" s="12" customFormat="1" ht="12" x14ac:dyDescent="0.25">
      <c r="A124" s="5">
        <v>46085</v>
      </c>
      <c r="B124" s="10">
        <f ca="1">TODAY()-A124</f>
        <v>55</v>
      </c>
      <c r="C124" s="6">
        <v>1907745</v>
      </c>
      <c r="D124" s="13" t="s">
        <v>30</v>
      </c>
      <c r="E124" s="6">
        <v>45998356417</v>
      </c>
      <c r="F124" s="6" t="s">
        <v>196</v>
      </c>
      <c r="G124" s="6">
        <v>1</v>
      </c>
      <c r="H124" s="5">
        <v>46120</v>
      </c>
      <c r="I124" s="5">
        <v>46120</v>
      </c>
      <c r="J124" s="6" t="s">
        <v>165</v>
      </c>
      <c r="K124" s="5">
        <v>46120</v>
      </c>
      <c r="L124" s="7" t="s">
        <v>60</v>
      </c>
      <c r="M124" s="7" t="s">
        <v>194</v>
      </c>
      <c r="N124" s="6" t="s">
        <v>197</v>
      </c>
    </row>
    <row r="125" spans="1:14" s="12" customFormat="1" ht="12" x14ac:dyDescent="0.25">
      <c r="A125" s="5">
        <v>46085</v>
      </c>
      <c r="B125" s="10">
        <f ca="1">TODAY()-A125</f>
        <v>55</v>
      </c>
      <c r="C125" s="6">
        <v>1907209</v>
      </c>
      <c r="D125" s="13" t="s">
        <v>25</v>
      </c>
      <c r="E125" s="6">
        <v>54999218207</v>
      </c>
      <c r="F125" s="6" t="s">
        <v>196</v>
      </c>
      <c r="G125" s="6">
        <v>1</v>
      </c>
      <c r="H125" s="5">
        <v>46086</v>
      </c>
      <c r="I125" s="5">
        <v>46104</v>
      </c>
      <c r="J125" s="6" t="s">
        <v>165</v>
      </c>
      <c r="K125" s="5">
        <v>46104</v>
      </c>
      <c r="L125" s="7" t="s">
        <v>60</v>
      </c>
      <c r="M125" s="7" t="s">
        <v>194</v>
      </c>
      <c r="N125" s="6" t="s">
        <v>197</v>
      </c>
    </row>
    <row r="126" spans="1:14" s="12" customFormat="1" ht="12" x14ac:dyDescent="0.25">
      <c r="A126" s="5">
        <v>46085</v>
      </c>
      <c r="B126" s="10">
        <f ca="1">TODAY()-A126</f>
        <v>55</v>
      </c>
      <c r="C126" s="6">
        <v>1907426</v>
      </c>
      <c r="D126" s="13" t="s">
        <v>17</v>
      </c>
      <c r="E126" s="6">
        <v>51994018106</v>
      </c>
      <c r="F126" s="6" t="s">
        <v>300</v>
      </c>
      <c r="G126" s="6">
        <v>1</v>
      </c>
      <c r="H126" s="5">
        <v>46086</v>
      </c>
      <c r="I126" s="5">
        <v>46109</v>
      </c>
      <c r="J126" s="6" t="s">
        <v>165</v>
      </c>
      <c r="K126" s="5">
        <v>46109</v>
      </c>
      <c r="L126" s="7" t="s">
        <v>60</v>
      </c>
      <c r="M126" s="7" t="s">
        <v>194</v>
      </c>
      <c r="N126" s="6" t="s">
        <v>197</v>
      </c>
    </row>
    <row r="127" spans="1:14" s="12" customFormat="1" ht="12" x14ac:dyDescent="0.25">
      <c r="A127" s="5">
        <v>46085</v>
      </c>
      <c r="B127" s="10">
        <f ca="1">TODAY()-A127</f>
        <v>55</v>
      </c>
      <c r="C127" s="6">
        <v>1907533</v>
      </c>
      <c r="D127" s="13" t="s">
        <v>22</v>
      </c>
      <c r="E127" s="6">
        <v>16999980411</v>
      </c>
      <c r="F127" s="6" t="s">
        <v>186</v>
      </c>
      <c r="G127" s="6">
        <v>1</v>
      </c>
      <c r="H127" s="5">
        <v>46086</v>
      </c>
      <c r="I127" s="5">
        <v>46086</v>
      </c>
      <c r="J127" s="6" t="s">
        <v>155</v>
      </c>
      <c r="K127" s="5">
        <v>46093</v>
      </c>
      <c r="L127" s="7" t="s">
        <v>60</v>
      </c>
      <c r="M127" s="7" t="s">
        <v>194</v>
      </c>
      <c r="N127" s="6"/>
    </row>
    <row r="128" spans="1:14" s="12" customFormat="1" ht="12" x14ac:dyDescent="0.25">
      <c r="A128" s="5">
        <v>46085</v>
      </c>
      <c r="B128" s="10">
        <f ca="1">TODAY()-A128</f>
        <v>55</v>
      </c>
      <c r="C128" s="6">
        <v>1907542</v>
      </c>
      <c r="D128" s="13" t="s">
        <v>18</v>
      </c>
      <c r="E128" s="6">
        <v>16999777441</v>
      </c>
      <c r="F128" s="6" t="s">
        <v>186</v>
      </c>
      <c r="G128" s="6">
        <v>1</v>
      </c>
      <c r="H128" s="5">
        <v>46085</v>
      </c>
      <c r="I128" s="5">
        <v>46085</v>
      </c>
      <c r="J128" s="6" t="s">
        <v>154</v>
      </c>
      <c r="K128" s="5">
        <v>46086</v>
      </c>
      <c r="L128" s="7" t="s">
        <v>60</v>
      </c>
      <c r="M128" s="7" t="s">
        <v>194</v>
      </c>
      <c r="N128" s="6"/>
    </row>
    <row r="129" spans="1:14" s="12" customFormat="1" ht="12" x14ac:dyDescent="0.25">
      <c r="A129" s="5">
        <v>46085</v>
      </c>
      <c r="B129" s="10">
        <f ca="1">TODAY()-A129</f>
        <v>55</v>
      </c>
      <c r="C129" s="6">
        <v>1907668</v>
      </c>
      <c r="D129" s="13" t="s">
        <v>27</v>
      </c>
      <c r="E129" s="6">
        <v>19992232802</v>
      </c>
      <c r="F129" s="6" t="s">
        <v>200</v>
      </c>
      <c r="G129" s="6">
        <v>2</v>
      </c>
      <c r="H129" s="5">
        <v>46086</v>
      </c>
      <c r="I129" s="5">
        <v>46086</v>
      </c>
      <c r="J129" s="6" t="s">
        <v>165</v>
      </c>
      <c r="K129" s="5">
        <v>46093</v>
      </c>
      <c r="L129" s="7" t="s">
        <v>60</v>
      </c>
      <c r="M129" s="7" t="s">
        <v>194</v>
      </c>
      <c r="N129" s="6"/>
    </row>
    <row r="130" spans="1:14" s="12" customFormat="1" ht="12" x14ac:dyDescent="0.25">
      <c r="A130" s="5">
        <v>46085</v>
      </c>
      <c r="B130" s="10">
        <f ca="1">TODAY()-A130</f>
        <v>55</v>
      </c>
      <c r="C130" s="6">
        <v>1907740</v>
      </c>
      <c r="D130" s="13" t="s">
        <v>29</v>
      </c>
      <c r="E130" s="6">
        <v>54999132103</v>
      </c>
      <c r="F130" s="6" t="s">
        <v>196</v>
      </c>
      <c r="G130" s="6">
        <v>1</v>
      </c>
      <c r="H130" s="5">
        <v>46087</v>
      </c>
      <c r="I130" s="5">
        <v>46112</v>
      </c>
      <c r="J130" s="6" t="s">
        <v>165</v>
      </c>
      <c r="K130" s="5">
        <v>46112</v>
      </c>
      <c r="L130" s="7" t="s">
        <v>60</v>
      </c>
      <c r="M130" s="7" t="s">
        <v>194</v>
      </c>
      <c r="N130" s="6" t="s">
        <v>197</v>
      </c>
    </row>
    <row r="131" spans="1:14" s="12" customFormat="1" ht="12" x14ac:dyDescent="0.25">
      <c r="A131" s="5">
        <v>46085</v>
      </c>
      <c r="B131" s="10">
        <f ca="1">TODAY()-A131</f>
        <v>55</v>
      </c>
      <c r="C131" s="6">
        <v>1907849</v>
      </c>
      <c r="D131" s="13" t="s">
        <v>31</v>
      </c>
      <c r="E131" s="6">
        <v>14991215979</v>
      </c>
      <c r="F131" s="6" t="s">
        <v>186</v>
      </c>
      <c r="G131" s="6">
        <v>1</v>
      </c>
      <c r="H131" s="5">
        <v>46085</v>
      </c>
      <c r="I131" s="5">
        <v>46086</v>
      </c>
      <c r="J131" s="6" t="s">
        <v>165</v>
      </c>
      <c r="K131" s="5">
        <v>46086</v>
      </c>
      <c r="L131" s="7" t="s">
        <v>60</v>
      </c>
      <c r="M131" s="7" t="s">
        <v>194</v>
      </c>
      <c r="N131" s="6"/>
    </row>
    <row r="132" spans="1:14" s="12" customFormat="1" ht="12" x14ac:dyDescent="0.25">
      <c r="A132" s="5">
        <v>46085</v>
      </c>
      <c r="B132" s="10">
        <f ca="1">TODAY()-A132</f>
        <v>55</v>
      </c>
      <c r="C132" s="6">
        <v>1907632</v>
      </c>
      <c r="D132" s="13" t="s">
        <v>19</v>
      </c>
      <c r="E132" s="6">
        <v>42999484310</v>
      </c>
      <c r="F132" s="6" t="s">
        <v>196</v>
      </c>
      <c r="G132" s="6">
        <v>1</v>
      </c>
      <c r="H132" s="5">
        <v>46120</v>
      </c>
      <c r="I132" s="5">
        <v>46120</v>
      </c>
      <c r="J132" s="6" t="s">
        <v>165</v>
      </c>
      <c r="K132" s="5">
        <v>46127</v>
      </c>
      <c r="L132" s="7" t="s">
        <v>60</v>
      </c>
      <c r="M132" s="7" t="s">
        <v>194</v>
      </c>
      <c r="N132" s="6"/>
    </row>
    <row r="133" spans="1:14" s="12" customFormat="1" ht="12" x14ac:dyDescent="0.25">
      <c r="A133" s="5">
        <v>46086</v>
      </c>
      <c r="B133" s="10">
        <f ca="1">TODAY()-A133</f>
        <v>54</v>
      </c>
      <c r="C133" s="6">
        <v>1908565</v>
      </c>
      <c r="D133" s="13" t="s">
        <v>42</v>
      </c>
      <c r="E133" s="6">
        <v>16982026411</v>
      </c>
      <c r="F133" s="6" t="s">
        <v>196</v>
      </c>
      <c r="G133" s="6">
        <v>1</v>
      </c>
      <c r="H133" s="5">
        <v>46105</v>
      </c>
      <c r="I133" s="5">
        <v>46105</v>
      </c>
      <c r="J133" s="6" t="s">
        <v>165</v>
      </c>
      <c r="K133" s="5">
        <v>46125</v>
      </c>
      <c r="L133" s="7" t="s">
        <v>60</v>
      </c>
      <c r="M133" s="7" t="s">
        <v>194</v>
      </c>
      <c r="N133" s="6"/>
    </row>
    <row r="134" spans="1:14" s="12" customFormat="1" ht="12" x14ac:dyDescent="0.25">
      <c r="A134" s="5">
        <v>46086</v>
      </c>
      <c r="B134" s="10">
        <f ca="1">TODAY()-A134</f>
        <v>54</v>
      </c>
      <c r="C134" s="6">
        <v>1907689</v>
      </c>
      <c r="D134" s="13" t="s">
        <v>35</v>
      </c>
      <c r="E134" s="6">
        <v>18997464667</v>
      </c>
      <c r="F134" s="6" t="s">
        <v>185</v>
      </c>
      <c r="G134" s="6">
        <v>1</v>
      </c>
      <c r="H134" s="5">
        <v>46086</v>
      </c>
      <c r="I134" s="5">
        <v>46087</v>
      </c>
      <c r="J134" s="6" t="s">
        <v>165</v>
      </c>
      <c r="K134" s="5">
        <v>46087</v>
      </c>
      <c r="L134" s="7" t="s">
        <v>60</v>
      </c>
      <c r="M134" s="7" t="s">
        <v>194</v>
      </c>
      <c r="N134" s="6"/>
    </row>
    <row r="135" spans="1:14" s="12" customFormat="1" ht="12" x14ac:dyDescent="0.25">
      <c r="A135" s="5">
        <v>46086</v>
      </c>
      <c r="B135" s="10">
        <f ca="1">TODAY()-A135</f>
        <v>54</v>
      </c>
      <c r="C135" s="6">
        <v>1907690</v>
      </c>
      <c r="D135" s="13" t="s">
        <v>32</v>
      </c>
      <c r="E135" s="6">
        <v>37999218349</v>
      </c>
      <c r="F135" s="6" t="s">
        <v>196</v>
      </c>
      <c r="G135" s="6">
        <v>1</v>
      </c>
      <c r="H135" s="5">
        <v>46086</v>
      </c>
      <c r="I135" s="5">
        <v>46090</v>
      </c>
      <c r="J135" s="6" t="s">
        <v>165</v>
      </c>
      <c r="K135" s="5">
        <v>46090</v>
      </c>
      <c r="L135" s="7" t="s">
        <v>60</v>
      </c>
      <c r="M135" s="7" t="s">
        <v>194</v>
      </c>
      <c r="N135" s="6" t="s">
        <v>197</v>
      </c>
    </row>
    <row r="136" spans="1:14" s="12" customFormat="1" ht="12" x14ac:dyDescent="0.25">
      <c r="A136" s="5">
        <v>46086</v>
      </c>
      <c r="B136" s="10">
        <f ca="1">TODAY()-A136</f>
        <v>54</v>
      </c>
      <c r="C136" s="6">
        <v>1907730</v>
      </c>
      <c r="D136" s="13" t="s">
        <v>36</v>
      </c>
      <c r="E136" s="6">
        <v>16994069416</v>
      </c>
      <c r="F136" s="6" t="s">
        <v>185</v>
      </c>
      <c r="G136" s="6">
        <v>1</v>
      </c>
      <c r="H136" s="5">
        <v>46086</v>
      </c>
      <c r="I136" s="5">
        <v>46086</v>
      </c>
      <c r="J136" s="6" t="s">
        <v>148</v>
      </c>
      <c r="K136" s="5">
        <v>46087</v>
      </c>
      <c r="L136" s="7" t="s">
        <v>60</v>
      </c>
      <c r="M136" s="7" t="s">
        <v>194</v>
      </c>
      <c r="N136" s="6"/>
    </row>
    <row r="137" spans="1:14" s="12" customFormat="1" ht="12" x14ac:dyDescent="0.25">
      <c r="A137" s="5">
        <v>46086</v>
      </c>
      <c r="B137" s="10">
        <f ca="1">TODAY()-A137</f>
        <v>54</v>
      </c>
      <c r="C137" s="6">
        <v>1908042</v>
      </c>
      <c r="D137" s="13" t="s">
        <v>38</v>
      </c>
      <c r="E137" s="6">
        <v>18997645808</v>
      </c>
      <c r="F137" s="6" t="s">
        <v>196</v>
      </c>
      <c r="G137" s="6">
        <v>1</v>
      </c>
      <c r="H137" s="5">
        <v>46086</v>
      </c>
      <c r="I137" s="5">
        <v>46086</v>
      </c>
      <c r="J137" s="5" t="s">
        <v>165</v>
      </c>
      <c r="K137" s="5">
        <v>46087</v>
      </c>
      <c r="L137" s="7" t="s">
        <v>60</v>
      </c>
      <c r="M137" s="7" t="s">
        <v>194</v>
      </c>
      <c r="N137" s="6"/>
    </row>
    <row r="138" spans="1:14" s="12" customFormat="1" ht="12" x14ac:dyDescent="0.25">
      <c r="A138" s="5">
        <v>46086</v>
      </c>
      <c r="B138" s="10">
        <f ca="1">TODAY()-A138</f>
        <v>54</v>
      </c>
      <c r="C138" s="6">
        <v>1908052</v>
      </c>
      <c r="D138" s="13" t="s">
        <v>33</v>
      </c>
      <c r="E138" s="6">
        <v>16997281970</v>
      </c>
      <c r="F138" s="6" t="s">
        <v>196</v>
      </c>
      <c r="G138" s="6">
        <v>1</v>
      </c>
      <c r="H138" s="5">
        <v>46087</v>
      </c>
      <c r="I138" s="5">
        <v>46093</v>
      </c>
      <c r="J138" s="6" t="s">
        <v>165</v>
      </c>
      <c r="K138" s="5">
        <v>46093</v>
      </c>
      <c r="L138" s="7" t="s">
        <v>60</v>
      </c>
      <c r="M138" s="7" t="s">
        <v>194</v>
      </c>
      <c r="N138" s="6"/>
    </row>
    <row r="139" spans="1:14" s="12" customFormat="1" ht="12" x14ac:dyDescent="0.25">
      <c r="A139" s="5">
        <v>46086</v>
      </c>
      <c r="B139" s="10">
        <f ca="1">TODAY()-A139</f>
        <v>54</v>
      </c>
      <c r="C139" s="6">
        <v>1908153</v>
      </c>
      <c r="D139" s="13" t="s">
        <v>34</v>
      </c>
      <c r="E139" s="6">
        <v>19992440292</v>
      </c>
      <c r="F139" s="6" t="s">
        <v>196</v>
      </c>
      <c r="G139" s="6">
        <v>1</v>
      </c>
      <c r="H139" s="5">
        <v>46087</v>
      </c>
      <c r="I139" s="5">
        <v>46090</v>
      </c>
      <c r="J139" s="6" t="s">
        <v>156</v>
      </c>
      <c r="K139" s="5">
        <v>46098</v>
      </c>
      <c r="L139" s="7" t="s">
        <v>60</v>
      </c>
      <c r="M139" s="7" t="s">
        <v>194</v>
      </c>
      <c r="N139" s="6"/>
    </row>
    <row r="140" spans="1:14" s="12" customFormat="1" ht="12" x14ac:dyDescent="0.25">
      <c r="A140" s="5">
        <v>46086</v>
      </c>
      <c r="B140" s="10">
        <f ca="1">TODAY()-A140</f>
        <v>54</v>
      </c>
      <c r="C140" s="6">
        <v>1908384</v>
      </c>
      <c r="D140" s="13" t="s">
        <v>202</v>
      </c>
      <c r="E140" s="6">
        <v>14996575685</v>
      </c>
      <c r="F140" s="6" t="s">
        <v>196</v>
      </c>
      <c r="G140" s="6">
        <v>1</v>
      </c>
      <c r="H140" s="5">
        <v>46087</v>
      </c>
      <c r="I140" s="5">
        <v>46087</v>
      </c>
      <c r="J140" s="6" t="s">
        <v>148</v>
      </c>
      <c r="K140" s="5">
        <v>46087</v>
      </c>
      <c r="L140" s="7" t="s">
        <v>60</v>
      </c>
      <c r="M140" s="7" t="s">
        <v>194</v>
      </c>
      <c r="N140" s="6"/>
    </row>
    <row r="141" spans="1:14" s="12" customFormat="1" ht="12" x14ac:dyDescent="0.25">
      <c r="A141" s="5">
        <v>46086</v>
      </c>
      <c r="B141" s="10">
        <f ca="1">TODAY()-A141</f>
        <v>54</v>
      </c>
      <c r="C141" s="6">
        <v>1908387</v>
      </c>
      <c r="D141" s="13" t="s">
        <v>240</v>
      </c>
      <c r="E141" s="6">
        <v>17991931877</v>
      </c>
      <c r="F141" s="6" t="s">
        <v>185</v>
      </c>
      <c r="G141" s="6">
        <v>1</v>
      </c>
      <c r="H141" s="5">
        <v>46087</v>
      </c>
      <c r="I141" s="5">
        <v>46097</v>
      </c>
      <c r="J141" s="6" t="s">
        <v>165</v>
      </c>
      <c r="K141" s="5">
        <v>46097</v>
      </c>
      <c r="L141" s="7" t="s">
        <v>60</v>
      </c>
      <c r="M141" s="7" t="s">
        <v>194</v>
      </c>
      <c r="N141" s="6"/>
    </row>
    <row r="142" spans="1:14" s="12" customFormat="1" ht="12" x14ac:dyDescent="0.25">
      <c r="A142" s="5">
        <v>46086</v>
      </c>
      <c r="B142" s="10">
        <f ca="1">TODAY()-A142</f>
        <v>54</v>
      </c>
      <c r="C142" s="6">
        <v>1908573</v>
      </c>
      <c r="D142" s="13" t="s">
        <v>43</v>
      </c>
      <c r="E142" s="6">
        <v>14991274274</v>
      </c>
      <c r="F142" s="6" t="s">
        <v>196</v>
      </c>
      <c r="G142" s="6">
        <v>1</v>
      </c>
      <c r="H142" s="5">
        <v>46087</v>
      </c>
      <c r="I142" s="5">
        <v>46105</v>
      </c>
      <c r="J142" s="6" t="s">
        <v>165</v>
      </c>
      <c r="K142" s="5">
        <v>46119</v>
      </c>
      <c r="L142" s="7" t="s">
        <v>60</v>
      </c>
      <c r="M142" s="7" t="s">
        <v>194</v>
      </c>
      <c r="N142" s="6" t="s">
        <v>197</v>
      </c>
    </row>
    <row r="143" spans="1:14" s="12" customFormat="1" ht="12" x14ac:dyDescent="0.25">
      <c r="A143" s="5">
        <v>46086</v>
      </c>
      <c r="B143" s="10">
        <f ca="1">TODAY()-A143</f>
        <v>54</v>
      </c>
      <c r="C143" s="6">
        <v>1908575</v>
      </c>
      <c r="D143" s="13" t="s">
        <v>44</v>
      </c>
      <c r="E143" s="6">
        <v>53991364568</v>
      </c>
      <c r="F143" s="6" t="s">
        <v>196</v>
      </c>
      <c r="G143" s="6">
        <v>1</v>
      </c>
      <c r="H143" s="5">
        <v>46118</v>
      </c>
      <c r="I143" s="5">
        <v>46100</v>
      </c>
      <c r="J143" s="6" t="s">
        <v>165</v>
      </c>
      <c r="K143" s="5">
        <v>46101</v>
      </c>
      <c r="L143" s="7" t="s">
        <v>60</v>
      </c>
      <c r="M143" s="7" t="s">
        <v>194</v>
      </c>
      <c r="N143" s="6"/>
    </row>
    <row r="144" spans="1:14" s="12" customFormat="1" ht="12" x14ac:dyDescent="0.25">
      <c r="A144" s="5">
        <v>46086</v>
      </c>
      <c r="B144" s="10">
        <f ca="1">TODAY()-A144</f>
        <v>54</v>
      </c>
      <c r="C144" s="6">
        <v>1908405</v>
      </c>
      <c r="D144" s="13" t="s">
        <v>41</v>
      </c>
      <c r="E144" s="6">
        <v>11983769898</v>
      </c>
      <c r="F144" s="6" t="s">
        <v>196</v>
      </c>
      <c r="G144" s="6">
        <v>1</v>
      </c>
      <c r="H144" s="5">
        <v>46121</v>
      </c>
      <c r="I144" s="5">
        <v>46126</v>
      </c>
      <c r="J144" s="6" t="s">
        <v>152</v>
      </c>
      <c r="K144" s="5">
        <v>46126</v>
      </c>
      <c r="L144" s="7" t="s">
        <v>60</v>
      </c>
      <c r="M144" s="7" t="s">
        <v>194</v>
      </c>
      <c r="N144" s="6" t="s">
        <v>197</v>
      </c>
    </row>
    <row r="145" spans="1:14" s="12" customFormat="1" ht="12" x14ac:dyDescent="0.25">
      <c r="A145" s="5">
        <v>46087</v>
      </c>
      <c r="B145" s="10">
        <f ca="1">TODAY()-A145</f>
        <v>53</v>
      </c>
      <c r="C145" s="6">
        <v>1909105</v>
      </c>
      <c r="D145" s="13" t="s">
        <v>48</v>
      </c>
      <c r="E145" s="6">
        <v>16999661666</v>
      </c>
      <c r="F145" s="6" t="s">
        <v>196</v>
      </c>
      <c r="G145" s="6">
        <v>1</v>
      </c>
      <c r="H145" s="5">
        <v>46087</v>
      </c>
      <c r="I145" s="5">
        <v>46087</v>
      </c>
      <c r="J145" s="6" t="s">
        <v>165</v>
      </c>
      <c r="K145" s="5">
        <v>46125</v>
      </c>
      <c r="L145" s="7" t="s">
        <v>60</v>
      </c>
      <c r="M145" s="7" t="s">
        <v>194</v>
      </c>
      <c r="N145" s="6"/>
    </row>
    <row r="146" spans="1:14" s="12" customFormat="1" ht="12" x14ac:dyDescent="0.25">
      <c r="A146" s="5">
        <v>46087</v>
      </c>
      <c r="B146" s="10">
        <f ca="1">TODAY()-A146</f>
        <v>53</v>
      </c>
      <c r="C146" s="6">
        <v>1906532</v>
      </c>
      <c r="D146" s="13" t="s">
        <v>58</v>
      </c>
      <c r="E146" s="6">
        <v>55999699800</v>
      </c>
      <c r="F146" s="6" t="s">
        <v>185</v>
      </c>
      <c r="G146" s="6">
        <v>1</v>
      </c>
      <c r="H146" s="5">
        <v>46087</v>
      </c>
      <c r="I146" s="5">
        <v>46093</v>
      </c>
      <c r="J146" s="6" t="s">
        <v>164</v>
      </c>
      <c r="K146" s="5">
        <v>46101</v>
      </c>
      <c r="L146" s="7" t="s">
        <v>60</v>
      </c>
      <c r="M146" s="7" t="s">
        <v>194</v>
      </c>
      <c r="N146" s="6"/>
    </row>
    <row r="147" spans="1:14" s="12" customFormat="1" ht="12" x14ac:dyDescent="0.25">
      <c r="A147" s="5">
        <v>46087</v>
      </c>
      <c r="B147" s="10">
        <f ca="1">TODAY()-A147</f>
        <v>53</v>
      </c>
      <c r="C147" s="6">
        <v>1908910</v>
      </c>
      <c r="D147" s="13" t="s">
        <v>45</v>
      </c>
      <c r="E147" s="6">
        <v>16993620401</v>
      </c>
      <c r="F147" s="6" t="s">
        <v>185</v>
      </c>
      <c r="G147" s="6">
        <v>1</v>
      </c>
      <c r="H147" s="5">
        <v>46090</v>
      </c>
      <c r="I147" s="5">
        <v>46102</v>
      </c>
      <c r="J147" s="6" t="s">
        <v>165</v>
      </c>
      <c r="K147" s="5">
        <v>46104</v>
      </c>
      <c r="L147" s="7" t="s">
        <v>60</v>
      </c>
      <c r="M147" s="7" t="s">
        <v>194</v>
      </c>
      <c r="N147" s="6"/>
    </row>
    <row r="148" spans="1:14" s="12" customFormat="1" ht="12" x14ac:dyDescent="0.25">
      <c r="A148" s="5">
        <v>46087</v>
      </c>
      <c r="B148" s="10">
        <f ca="1">TODAY()-A148</f>
        <v>53</v>
      </c>
      <c r="C148" s="6">
        <v>1908913</v>
      </c>
      <c r="D148" s="13" t="s">
        <v>57</v>
      </c>
      <c r="E148" s="6">
        <v>14996631854</v>
      </c>
      <c r="F148" s="6" t="s">
        <v>187</v>
      </c>
      <c r="G148" s="6">
        <v>1</v>
      </c>
      <c r="H148" s="5">
        <v>46090</v>
      </c>
      <c r="I148" s="5">
        <v>46101</v>
      </c>
      <c r="J148" s="6" t="s">
        <v>165</v>
      </c>
      <c r="K148" s="5">
        <v>46101</v>
      </c>
      <c r="L148" s="7" t="s">
        <v>60</v>
      </c>
      <c r="M148" s="7" t="s">
        <v>194</v>
      </c>
      <c r="N148" s="6"/>
    </row>
    <row r="149" spans="1:14" s="12" customFormat="1" ht="12" x14ac:dyDescent="0.25">
      <c r="A149" s="5">
        <v>46087</v>
      </c>
      <c r="B149" s="10">
        <f ca="1">TODAY()-A149</f>
        <v>53</v>
      </c>
      <c r="C149" s="6">
        <v>1909027</v>
      </c>
      <c r="D149" s="13" t="s">
        <v>54</v>
      </c>
      <c r="E149" s="6">
        <v>13996627377</v>
      </c>
      <c r="F149" s="29" t="s">
        <v>185</v>
      </c>
      <c r="G149" s="6">
        <v>1</v>
      </c>
      <c r="H149" s="5">
        <v>46097</v>
      </c>
      <c r="I149" s="5">
        <v>46107</v>
      </c>
      <c r="J149" s="6" t="s">
        <v>198</v>
      </c>
      <c r="K149" s="5">
        <v>46121</v>
      </c>
      <c r="L149" s="7" t="s">
        <v>60</v>
      </c>
      <c r="M149" s="7" t="s">
        <v>194</v>
      </c>
      <c r="N149" s="6" t="s">
        <v>197</v>
      </c>
    </row>
    <row r="150" spans="1:14" s="12" customFormat="1" ht="12" x14ac:dyDescent="0.25">
      <c r="A150" s="5">
        <v>46087</v>
      </c>
      <c r="B150" s="10">
        <f ca="1">TODAY()-A150</f>
        <v>53</v>
      </c>
      <c r="C150" s="6">
        <v>1909107</v>
      </c>
      <c r="D150" s="13" t="s">
        <v>49</v>
      </c>
      <c r="E150" s="6">
        <v>62998178174</v>
      </c>
      <c r="F150" s="6" t="s">
        <v>196</v>
      </c>
      <c r="G150" s="6">
        <v>2</v>
      </c>
      <c r="H150" s="5">
        <v>46097</v>
      </c>
      <c r="I150" s="5">
        <v>46099</v>
      </c>
      <c r="J150" s="6" t="s">
        <v>165</v>
      </c>
      <c r="K150" s="5">
        <v>46127</v>
      </c>
      <c r="L150" s="7" t="s">
        <v>60</v>
      </c>
      <c r="M150" s="7" t="s">
        <v>194</v>
      </c>
      <c r="N150" s="6" t="s">
        <v>197</v>
      </c>
    </row>
    <row r="151" spans="1:14" s="12" customFormat="1" ht="12" x14ac:dyDescent="0.25">
      <c r="A151" s="5">
        <v>46087</v>
      </c>
      <c r="B151" s="10">
        <f ca="1">TODAY()-A151</f>
        <v>53</v>
      </c>
      <c r="C151" s="6">
        <v>1909108</v>
      </c>
      <c r="D151" s="13" t="s">
        <v>55</v>
      </c>
      <c r="E151" s="6">
        <v>15992018415</v>
      </c>
      <c r="F151" s="6" t="s">
        <v>196</v>
      </c>
      <c r="G151" s="6">
        <v>1</v>
      </c>
      <c r="H151" s="5">
        <v>46088</v>
      </c>
      <c r="I151" s="5">
        <v>46087</v>
      </c>
      <c r="J151" s="6" t="s">
        <v>165</v>
      </c>
      <c r="K151" s="5">
        <v>46094</v>
      </c>
      <c r="L151" s="7" t="s">
        <v>60</v>
      </c>
      <c r="M151" s="7" t="s">
        <v>194</v>
      </c>
      <c r="N151" s="6"/>
    </row>
    <row r="152" spans="1:14" s="12" customFormat="1" ht="12" x14ac:dyDescent="0.25">
      <c r="A152" s="5">
        <v>46087</v>
      </c>
      <c r="B152" s="10">
        <f ca="1">TODAY()-A152</f>
        <v>53</v>
      </c>
      <c r="C152" s="6">
        <v>1909185</v>
      </c>
      <c r="D152" s="13" t="s">
        <v>56</v>
      </c>
      <c r="E152" s="6">
        <v>19998859039</v>
      </c>
      <c r="F152" s="6" t="s">
        <v>185</v>
      </c>
      <c r="G152" s="6">
        <v>1</v>
      </c>
      <c r="H152" s="5">
        <v>46090</v>
      </c>
      <c r="I152" s="5">
        <v>46093</v>
      </c>
      <c r="J152" s="6" t="s">
        <v>165</v>
      </c>
      <c r="K152" s="5">
        <v>46097</v>
      </c>
      <c r="L152" s="7" t="s">
        <v>60</v>
      </c>
      <c r="M152" s="7" t="s">
        <v>194</v>
      </c>
      <c r="N152" s="6"/>
    </row>
    <row r="153" spans="1:14" s="12" customFormat="1" ht="12" x14ac:dyDescent="0.25">
      <c r="A153" s="5">
        <v>46087</v>
      </c>
      <c r="B153" s="10">
        <f ca="1">TODAY()-A153</f>
        <v>53</v>
      </c>
      <c r="C153" s="6">
        <v>1909189</v>
      </c>
      <c r="D153" s="13" t="s">
        <v>50</v>
      </c>
      <c r="E153" s="6">
        <v>17996552383</v>
      </c>
      <c r="F153" s="6" t="s">
        <v>186</v>
      </c>
      <c r="G153" s="6">
        <v>1</v>
      </c>
      <c r="H153" s="5">
        <v>46088</v>
      </c>
      <c r="I153" s="5">
        <v>46090</v>
      </c>
      <c r="J153" s="6" t="s">
        <v>165</v>
      </c>
      <c r="K153" s="5">
        <v>46092</v>
      </c>
      <c r="L153" s="7" t="s">
        <v>60</v>
      </c>
      <c r="M153" s="7" t="s">
        <v>194</v>
      </c>
      <c r="N153" s="6"/>
    </row>
    <row r="154" spans="1:14" s="12" customFormat="1" ht="12" x14ac:dyDescent="0.25">
      <c r="A154" s="5">
        <v>46087</v>
      </c>
      <c r="B154" s="10">
        <f ca="1">TODAY()-A154</f>
        <v>53</v>
      </c>
      <c r="C154" s="6">
        <v>1909100</v>
      </c>
      <c r="D154" s="13" t="s">
        <v>47</v>
      </c>
      <c r="E154" s="6">
        <v>11985687989</v>
      </c>
      <c r="F154" s="6" t="s">
        <v>404</v>
      </c>
      <c r="G154" s="6">
        <v>2</v>
      </c>
      <c r="H154" s="5">
        <v>46126</v>
      </c>
      <c r="I154" s="5">
        <v>46127</v>
      </c>
      <c r="J154" s="6" t="s">
        <v>158</v>
      </c>
      <c r="K154" s="5">
        <v>46128</v>
      </c>
      <c r="L154" s="7" t="s">
        <v>60</v>
      </c>
      <c r="M154" s="7" t="s">
        <v>194</v>
      </c>
      <c r="N154" s="6" t="s">
        <v>197</v>
      </c>
    </row>
    <row r="155" spans="1:14" x14ac:dyDescent="0.3">
      <c r="A155" s="5">
        <v>46090</v>
      </c>
      <c r="B155" s="10">
        <f ca="1">TODAY()-A155</f>
        <v>50</v>
      </c>
      <c r="C155" s="6">
        <v>1909366</v>
      </c>
      <c r="D155" s="13" t="s">
        <v>73</v>
      </c>
      <c r="E155" s="6">
        <v>16997431150</v>
      </c>
      <c r="F155" s="6" t="s">
        <v>185</v>
      </c>
      <c r="G155" s="6">
        <v>1</v>
      </c>
      <c r="H155" s="5">
        <v>46127</v>
      </c>
      <c r="I155" s="5">
        <v>46128</v>
      </c>
      <c r="J155" s="6" t="s">
        <v>157</v>
      </c>
      <c r="K155" s="5">
        <v>46132</v>
      </c>
      <c r="L155" s="7" t="s">
        <v>60</v>
      </c>
      <c r="M155" s="7" t="s">
        <v>194</v>
      </c>
      <c r="N155" s="6"/>
    </row>
    <row r="156" spans="1:14" x14ac:dyDescent="0.3">
      <c r="A156" s="5">
        <v>46090</v>
      </c>
      <c r="B156" s="10">
        <f ca="1">TODAY()-A156</f>
        <v>50</v>
      </c>
      <c r="C156" s="6">
        <v>1909265</v>
      </c>
      <c r="D156" s="13" t="s">
        <v>59</v>
      </c>
      <c r="E156" s="6">
        <v>19985591123</v>
      </c>
      <c r="F156" s="6" t="s">
        <v>186</v>
      </c>
      <c r="G156" s="6">
        <v>1</v>
      </c>
      <c r="H156" s="5">
        <v>46091</v>
      </c>
      <c r="I156" s="5">
        <v>46097</v>
      </c>
      <c r="J156" s="5" t="s">
        <v>157</v>
      </c>
      <c r="K156" s="5">
        <v>46098</v>
      </c>
      <c r="L156" s="7" t="s">
        <v>60</v>
      </c>
      <c r="M156" s="7" t="s">
        <v>194</v>
      </c>
      <c r="N156" s="6"/>
    </row>
    <row r="157" spans="1:14" x14ac:dyDescent="0.3">
      <c r="A157" s="5">
        <v>46090</v>
      </c>
      <c r="B157" s="10">
        <f ca="1">TODAY()-A157</f>
        <v>50</v>
      </c>
      <c r="C157" s="6">
        <v>1909267</v>
      </c>
      <c r="D157" s="13" t="s">
        <v>61</v>
      </c>
      <c r="E157" s="6">
        <v>14998082808</v>
      </c>
      <c r="F157" s="6" t="s">
        <v>201</v>
      </c>
      <c r="G157" s="6">
        <v>1</v>
      </c>
      <c r="H157" s="5">
        <v>46091</v>
      </c>
      <c r="I157" s="5">
        <v>46098</v>
      </c>
      <c r="J157" s="6" t="s">
        <v>154</v>
      </c>
      <c r="K157" s="5">
        <v>46100</v>
      </c>
      <c r="L157" s="7" t="s">
        <v>60</v>
      </c>
      <c r="M157" s="7" t="s">
        <v>194</v>
      </c>
      <c r="N157" s="6"/>
    </row>
    <row r="158" spans="1:14" x14ac:dyDescent="0.3">
      <c r="A158" s="5">
        <v>46090</v>
      </c>
      <c r="B158" s="10">
        <f ca="1">TODAY()-A158</f>
        <v>50</v>
      </c>
      <c r="C158" s="6">
        <v>1909270</v>
      </c>
      <c r="D158" s="13" t="s">
        <v>62</v>
      </c>
      <c r="E158" s="6">
        <v>42988251323</v>
      </c>
      <c r="F158" s="6" t="s">
        <v>185</v>
      </c>
      <c r="G158" s="6">
        <v>1</v>
      </c>
      <c r="H158" s="5">
        <v>46091</v>
      </c>
      <c r="I158" s="5">
        <v>46092</v>
      </c>
      <c r="J158" s="6" t="s">
        <v>165</v>
      </c>
      <c r="K158" s="5">
        <v>46092</v>
      </c>
      <c r="L158" s="7" t="s">
        <v>60</v>
      </c>
      <c r="M158" s="7" t="s">
        <v>194</v>
      </c>
      <c r="N158" s="6"/>
    </row>
    <row r="159" spans="1:14" x14ac:dyDescent="0.3">
      <c r="A159" s="5">
        <v>46090</v>
      </c>
      <c r="B159" s="10">
        <f ca="1">TODAY()-A159</f>
        <v>50</v>
      </c>
      <c r="C159" s="6">
        <v>1909278</v>
      </c>
      <c r="D159" s="13" t="s">
        <v>72</v>
      </c>
      <c r="E159" s="6">
        <v>45999010045</v>
      </c>
      <c r="F159" s="6" t="s">
        <v>303</v>
      </c>
      <c r="G159" s="6">
        <v>2</v>
      </c>
      <c r="H159" s="5">
        <v>46091</v>
      </c>
      <c r="I159" s="5">
        <v>46101</v>
      </c>
      <c r="J159" s="6" t="s">
        <v>165</v>
      </c>
      <c r="K159" s="5">
        <v>46101</v>
      </c>
      <c r="L159" s="7" t="s">
        <v>60</v>
      </c>
      <c r="M159" s="7" t="s">
        <v>194</v>
      </c>
      <c r="N159" s="6"/>
    </row>
    <row r="160" spans="1:14" x14ac:dyDescent="0.3">
      <c r="A160" s="5">
        <v>46090</v>
      </c>
      <c r="B160" s="10">
        <f ca="1">TODAY()-A160</f>
        <v>50</v>
      </c>
      <c r="C160" s="6">
        <v>1909288</v>
      </c>
      <c r="D160" s="13" t="s">
        <v>63</v>
      </c>
      <c r="E160" s="6">
        <v>43998318281</v>
      </c>
      <c r="F160" s="6" t="s">
        <v>305</v>
      </c>
      <c r="G160" s="6">
        <v>1</v>
      </c>
      <c r="H160" s="5">
        <v>46091</v>
      </c>
      <c r="I160" s="5">
        <v>46097</v>
      </c>
      <c r="J160" s="6" t="s">
        <v>165</v>
      </c>
      <c r="K160" s="5">
        <v>46097</v>
      </c>
      <c r="L160" s="7" t="s">
        <v>60</v>
      </c>
      <c r="M160" s="7" t="s">
        <v>194</v>
      </c>
      <c r="N160" s="6"/>
    </row>
    <row r="161" spans="1:14" x14ac:dyDescent="0.3">
      <c r="A161" s="5">
        <v>46090</v>
      </c>
      <c r="B161" s="10">
        <f ca="1">TODAY()-A161</f>
        <v>50</v>
      </c>
      <c r="C161" s="6">
        <v>1909420</v>
      </c>
      <c r="D161" s="13" t="s">
        <v>64</v>
      </c>
      <c r="E161" s="6">
        <v>11988254029</v>
      </c>
      <c r="F161" s="6" t="s">
        <v>186</v>
      </c>
      <c r="G161" s="6">
        <v>1</v>
      </c>
      <c r="H161" s="5">
        <v>46091</v>
      </c>
      <c r="I161" s="5">
        <v>46097</v>
      </c>
      <c r="J161" s="6" t="s">
        <v>165</v>
      </c>
      <c r="K161" s="5">
        <v>46098</v>
      </c>
      <c r="L161" s="7" t="s">
        <v>60</v>
      </c>
      <c r="M161" s="7" t="s">
        <v>194</v>
      </c>
      <c r="N161" s="6"/>
    </row>
    <row r="162" spans="1:14" x14ac:dyDescent="0.3">
      <c r="A162" s="5">
        <v>46090</v>
      </c>
      <c r="B162" s="10">
        <f ca="1">TODAY()-A162</f>
        <v>50</v>
      </c>
      <c r="C162" s="6">
        <v>1909475</v>
      </c>
      <c r="D162" s="13" t="s">
        <v>66</v>
      </c>
      <c r="E162" s="6">
        <v>22988241949</v>
      </c>
      <c r="F162" s="6" t="s">
        <v>185</v>
      </c>
      <c r="G162" s="6">
        <v>1</v>
      </c>
      <c r="H162" s="5">
        <v>46091</v>
      </c>
      <c r="I162" s="5">
        <v>46092</v>
      </c>
      <c r="J162" s="6" t="s">
        <v>165</v>
      </c>
      <c r="K162" s="5">
        <v>46100</v>
      </c>
      <c r="L162" s="7" t="s">
        <v>60</v>
      </c>
      <c r="M162" s="7" t="s">
        <v>194</v>
      </c>
      <c r="N162" s="6"/>
    </row>
    <row r="163" spans="1:14" x14ac:dyDescent="0.3">
      <c r="A163" s="5">
        <v>46090</v>
      </c>
      <c r="B163" s="10">
        <f ca="1">TODAY()-A163</f>
        <v>50</v>
      </c>
      <c r="C163" s="6">
        <v>1909741</v>
      </c>
      <c r="D163" s="13" t="s">
        <v>67</v>
      </c>
      <c r="E163" s="6">
        <v>18996999577</v>
      </c>
      <c r="F163" s="6" t="s">
        <v>186</v>
      </c>
      <c r="G163" s="6">
        <v>1</v>
      </c>
      <c r="H163" s="5">
        <v>46091</v>
      </c>
      <c r="I163" s="5">
        <v>46092</v>
      </c>
      <c r="J163" s="6" t="s">
        <v>165</v>
      </c>
      <c r="K163" s="5">
        <v>46092</v>
      </c>
      <c r="L163" s="7" t="s">
        <v>60</v>
      </c>
      <c r="M163" s="7" t="s">
        <v>194</v>
      </c>
      <c r="N163" s="6"/>
    </row>
    <row r="164" spans="1:14" x14ac:dyDescent="0.3">
      <c r="A164" s="5">
        <v>46090</v>
      </c>
      <c r="B164" s="10">
        <f ca="1">TODAY()-A164</f>
        <v>50</v>
      </c>
      <c r="C164" s="6">
        <v>1909743</v>
      </c>
      <c r="D164" s="13" t="s">
        <v>68</v>
      </c>
      <c r="E164" s="6">
        <v>11966369872</v>
      </c>
      <c r="F164" s="6" t="s">
        <v>196</v>
      </c>
      <c r="G164" s="6">
        <v>1</v>
      </c>
      <c r="H164" s="5">
        <v>46091</v>
      </c>
      <c r="I164" s="5">
        <v>46097</v>
      </c>
      <c r="J164" s="6" t="s">
        <v>149</v>
      </c>
      <c r="K164" s="5">
        <v>46101</v>
      </c>
      <c r="L164" s="7" t="s">
        <v>60</v>
      </c>
      <c r="M164" s="7" t="s">
        <v>194</v>
      </c>
      <c r="N164" s="6"/>
    </row>
    <row r="165" spans="1:14" x14ac:dyDescent="0.3">
      <c r="A165" s="5">
        <v>46090</v>
      </c>
      <c r="B165" s="10">
        <f ca="1">TODAY()-A165</f>
        <v>50</v>
      </c>
      <c r="C165" s="6">
        <v>1909758</v>
      </c>
      <c r="D165" s="13" t="s">
        <v>69</v>
      </c>
      <c r="E165" s="6">
        <v>21990704673</v>
      </c>
      <c r="F165" s="6" t="s">
        <v>185</v>
      </c>
      <c r="G165" s="6">
        <v>1</v>
      </c>
      <c r="H165" s="5">
        <v>46091</v>
      </c>
      <c r="I165" s="5">
        <v>46092</v>
      </c>
      <c r="J165" s="6" t="s">
        <v>165</v>
      </c>
      <c r="K165" s="5">
        <v>46098</v>
      </c>
      <c r="L165" s="7" t="s">
        <v>60</v>
      </c>
      <c r="M165" s="7" t="s">
        <v>194</v>
      </c>
      <c r="N165" s="6"/>
    </row>
    <row r="166" spans="1:14" x14ac:dyDescent="0.3">
      <c r="A166" s="5">
        <v>46090</v>
      </c>
      <c r="B166" s="10">
        <f ca="1">TODAY()-A166</f>
        <v>50</v>
      </c>
      <c r="C166" s="6">
        <v>1909765</v>
      </c>
      <c r="D166" s="13" t="s">
        <v>70</v>
      </c>
      <c r="E166" s="6">
        <v>11995780855</v>
      </c>
      <c r="F166" s="6" t="s">
        <v>185</v>
      </c>
      <c r="G166" s="6">
        <v>1</v>
      </c>
      <c r="H166" s="5">
        <v>46091</v>
      </c>
      <c r="I166" s="5">
        <v>46091</v>
      </c>
      <c r="J166" s="6" t="s">
        <v>165</v>
      </c>
      <c r="K166" s="5">
        <v>46094</v>
      </c>
      <c r="L166" s="7" t="s">
        <v>60</v>
      </c>
      <c r="M166" s="7" t="s">
        <v>194</v>
      </c>
      <c r="N166" s="6"/>
    </row>
    <row r="167" spans="1:14" x14ac:dyDescent="0.3">
      <c r="A167" s="5">
        <v>46091</v>
      </c>
      <c r="B167" s="10">
        <f ca="1">TODAY()-A167</f>
        <v>49</v>
      </c>
      <c r="C167" s="6">
        <v>1909963</v>
      </c>
      <c r="D167" s="13" t="s">
        <v>86</v>
      </c>
      <c r="E167" s="6">
        <v>49984346866</v>
      </c>
      <c r="F167" s="6" t="s">
        <v>185</v>
      </c>
      <c r="G167" s="6">
        <v>1</v>
      </c>
      <c r="H167" s="5">
        <v>46099</v>
      </c>
      <c r="I167" s="5">
        <v>46099</v>
      </c>
      <c r="J167" s="6" t="s">
        <v>165</v>
      </c>
      <c r="K167" s="5">
        <v>46125</v>
      </c>
      <c r="L167" s="7" t="s">
        <v>60</v>
      </c>
      <c r="M167" s="7" t="s">
        <v>194</v>
      </c>
      <c r="N167" s="6" t="s">
        <v>197</v>
      </c>
    </row>
    <row r="168" spans="1:14" x14ac:dyDescent="0.3">
      <c r="A168" s="5">
        <v>46091</v>
      </c>
      <c r="B168" s="10">
        <f ca="1">TODAY()-A168</f>
        <v>49</v>
      </c>
      <c r="C168" s="18">
        <v>1910051</v>
      </c>
      <c r="D168" s="13" t="s">
        <v>87</v>
      </c>
      <c r="E168" s="6">
        <v>48996088189</v>
      </c>
      <c r="F168" s="6" t="s">
        <v>196</v>
      </c>
      <c r="G168" s="6">
        <v>1</v>
      </c>
      <c r="H168" s="5">
        <v>46100</v>
      </c>
      <c r="I168" s="5">
        <v>46112</v>
      </c>
      <c r="J168" s="6" t="s">
        <v>165</v>
      </c>
      <c r="K168" s="5">
        <v>46112</v>
      </c>
      <c r="L168" s="7" t="s">
        <v>60</v>
      </c>
      <c r="M168" s="7" t="s">
        <v>194</v>
      </c>
      <c r="N168" s="6" t="s">
        <v>197</v>
      </c>
    </row>
    <row r="169" spans="1:14" x14ac:dyDescent="0.3">
      <c r="A169" s="5">
        <v>46091</v>
      </c>
      <c r="B169" s="10">
        <f ca="1">TODAY()-A169</f>
        <v>49</v>
      </c>
      <c r="C169" s="6">
        <v>1910182</v>
      </c>
      <c r="D169" s="13" t="s">
        <v>511</v>
      </c>
      <c r="E169" s="6">
        <v>35988720587</v>
      </c>
      <c r="F169" s="6"/>
      <c r="G169" s="6">
        <v>1</v>
      </c>
      <c r="H169" s="5">
        <v>46099</v>
      </c>
      <c r="I169" s="5">
        <v>46106</v>
      </c>
      <c r="J169" s="6" t="s">
        <v>151</v>
      </c>
      <c r="K169" s="5">
        <v>46106</v>
      </c>
      <c r="L169" s="7" t="s">
        <v>60</v>
      </c>
      <c r="M169" s="7" t="s">
        <v>194</v>
      </c>
      <c r="N169" s="6"/>
    </row>
    <row r="170" spans="1:14" x14ac:dyDescent="0.3">
      <c r="A170" s="5">
        <v>46091</v>
      </c>
      <c r="B170" s="10">
        <f ca="1">TODAY()-A170</f>
        <v>49</v>
      </c>
      <c r="C170" s="6">
        <v>1909878</v>
      </c>
      <c r="D170" s="13" t="s">
        <v>76</v>
      </c>
      <c r="E170" s="6">
        <v>35999483550</v>
      </c>
      <c r="F170" s="6" t="s">
        <v>306</v>
      </c>
      <c r="G170" s="6">
        <v>1</v>
      </c>
      <c r="H170" s="5">
        <v>46092</v>
      </c>
      <c r="I170" s="5">
        <v>46099</v>
      </c>
      <c r="J170" s="6" t="s">
        <v>147</v>
      </c>
      <c r="K170" s="5">
        <v>46104</v>
      </c>
      <c r="L170" s="7" t="s">
        <v>60</v>
      </c>
      <c r="M170" s="7" t="s">
        <v>194</v>
      </c>
      <c r="N170" s="6"/>
    </row>
    <row r="171" spans="1:14" x14ac:dyDescent="0.3">
      <c r="A171" s="5">
        <v>46091</v>
      </c>
      <c r="B171" s="10">
        <f ca="1">TODAY()-A171</f>
        <v>49</v>
      </c>
      <c r="C171" s="6">
        <v>1910036</v>
      </c>
      <c r="D171" s="13" t="s">
        <v>81</v>
      </c>
      <c r="E171" s="6">
        <v>14996956576</v>
      </c>
      <c r="F171" s="6" t="s">
        <v>185</v>
      </c>
      <c r="G171" s="6">
        <v>1</v>
      </c>
      <c r="H171" s="5">
        <v>46093</v>
      </c>
      <c r="I171" s="5">
        <v>46094</v>
      </c>
      <c r="J171" s="5" t="s">
        <v>152</v>
      </c>
      <c r="K171" s="5">
        <v>46097</v>
      </c>
      <c r="L171" s="7" t="s">
        <v>60</v>
      </c>
      <c r="M171" s="7" t="s">
        <v>194</v>
      </c>
      <c r="N171" s="6"/>
    </row>
    <row r="172" spans="1:14" x14ac:dyDescent="0.3">
      <c r="A172" s="5">
        <v>46091</v>
      </c>
      <c r="B172" s="10">
        <f ca="1">TODAY()-A172</f>
        <v>49</v>
      </c>
      <c r="C172" s="6">
        <v>1910037</v>
      </c>
      <c r="D172" s="13" t="s">
        <v>203</v>
      </c>
      <c r="E172" s="6">
        <v>16997408587</v>
      </c>
      <c r="F172" s="6" t="s">
        <v>196</v>
      </c>
      <c r="G172" s="6">
        <v>1</v>
      </c>
      <c r="H172" s="5">
        <v>46092</v>
      </c>
      <c r="I172" s="5">
        <v>46092</v>
      </c>
      <c r="J172" s="6" t="s">
        <v>198</v>
      </c>
      <c r="K172" s="5">
        <v>46092</v>
      </c>
      <c r="L172" s="7" t="s">
        <v>60</v>
      </c>
      <c r="M172" s="7" t="s">
        <v>194</v>
      </c>
      <c r="N172" s="6"/>
    </row>
    <row r="173" spans="1:14" x14ac:dyDescent="0.3">
      <c r="A173" s="5">
        <v>46091</v>
      </c>
      <c r="B173" s="10">
        <f ca="1">TODAY()-A173</f>
        <v>49</v>
      </c>
      <c r="C173" s="6">
        <v>1910040</v>
      </c>
      <c r="D173" s="13" t="s">
        <v>82</v>
      </c>
      <c r="E173" s="6">
        <v>55991174439</v>
      </c>
      <c r="F173" s="6" t="s">
        <v>196</v>
      </c>
      <c r="G173" s="6">
        <v>1</v>
      </c>
      <c r="H173" s="5">
        <v>46093</v>
      </c>
      <c r="I173" s="5">
        <v>46118</v>
      </c>
      <c r="J173" s="6" t="s">
        <v>165</v>
      </c>
      <c r="K173" s="5">
        <v>46119</v>
      </c>
      <c r="L173" s="7" t="s">
        <v>60</v>
      </c>
      <c r="M173" s="7" t="s">
        <v>193</v>
      </c>
      <c r="N173" s="6" t="s">
        <v>197</v>
      </c>
    </row>
    <row r="174" spans="1:14" x14ac:dyDescent="0.3">
      <c r="A174" s="5">
        <v>46091</v>
      </c>
      <c r="B174" s="10">
        <f ca="1">TODAY()-A174</f>
        <v>49</v>
      </c>
      <c r="C174" s="6">
        <v>1910052</v>
      </c>
      <c r="D174" s="13" t="s">
        <v>83</v>
      </c>
      <c r="E174" s="6">
        <v>16992853219</v>
      </c>
      <c r="F174" s="6" t="s">
        <v>185</v>
      </c>
      <c r="G174" s="6">
        <v>1</v>
      </c>
      <c r="H174" s="5">
        <v>46091</v>
      </c>
      <c r="I174" s="5">
        <v>46092</v>
      </c>
      <c r="J174" s="6" t="s">
        <v>165</v>
      </c>
      <c r="K174" s="5">
        <v>46097</v>
      </c>
      <c r="L174" s="7" t="s">
        <v>60</v>
      </c>
      <c r="M174" s="7" t="s">
        <v>194</v>
      </c>
      <c r="N174" s="6"/>
    </row>
    <row r="175" spans="1:14" x14ac:dyDescent="0.3">
      <c r="A175" s="5">
        <v>46091</v>
      </c>
      <c r="B175" s="10">
        <f ca="1">TODAY()-A175</f>
        <v>49</v>
      </c>
      <c r="C175" s="6">
        <v>1910183</v>
      </c>
      <c r="D175" s="13" t="s">
        <v>77</v>
      </c>
      <c r="E175" s="6">
        <v>19981560638</v>
      </c>
      <c r="F175" s="6" t="s">
        <v>186</v>
      </c>
      <c r="G175" s="6">
        <v>1</v>
      </c>
      <c r="H175" s="5">
        <v>46092</v>
      </c>
      <c r="I175" s="5">
        <v>46092</v>
      </c>
      <c r="J175" s="6" t="s">
        <v>165</v>
      </c>
      <c r="K175" s="5">
        <v>46098</v>
      </c>
      <c r="L175" s="7" t="s">
        <v>60</v>
      </c>
      <c r="M175" s="7" t="s">
        <v>194</v>
      </c>
      <c r="N175" s="6"/>
    </row>
    <row r="176" spans="1:14" x14ac:dyDescent="0.3">
      <c r="A176" s="5">
        <v>46091</v>
      </c>
      <c r="B176" s="10">
        <f ca="1">TODAY()-A176</f>
        <v>49</v>
      </c>
      <c r="C176" s="6">
        <v>1910572</v>
      </c>
      <c r="D176" s="13" t="s">
        <v>90</v>
      </c>
      <c r="E176" s="6">
        <v>16997566919</v>
      </c>
      <c r="F176" s="6" t="s">
        <v>196</v>
      </c>
      <c r="G176" s="6">
        <v>1</v>
      </c>
      <c r="H176" s="5">
        <v>46092</v>
      </c>
      <c r="I176" s="5">
        <v>46102</v>
      </c>
      <c r="J176" s="6" t="s">
        <v>152</v>
      </c>
      <c r="K176" s="5">
        <v>46104</v>
      </c>
      <c r="L176" s="7" t="s">
        <v>60</v>
      </c>
      <c r="M176" s="7" t="s">
        <v>194</v>
      </c>
      <c r="N176" s="6"/>
    </row>
    <row r="177" spans="1:14" x14ac:dyDescent="0.3">
      <c r="A177" s="5">
        <v>46091</v>
      </c>
      <c r="B177" s="10">
        <f ca="1">TODAY()-A177</f>
        <v>49</v>
      </c>
      <c r="C177" s="6" t="s">
        <v>315</v>
      </c>
      <c r="D177" s="13" t="s">
        <v>316</v>
      </c>
      <c r="E177" s="6">
        <v>66999915689</v>
      </c>
      <c r="F177" s="6" t="s">
        <v>196</v>
      </c>
      <c r="G177" s="6">
        <v>1</v>
      </c>
      <c r="H177" s="5">
        <v>46091</v>
      </c>
      <c r="I177" s="5">
        <v>46113</v>
      </c>
      <c r="J177" s="6" t="s">
        <v>165</v>
      </c>
      <c r="K177" s="5">
        <v>46113</v>
      </c>
      <c r="L177" s="7" t="s">
        <v>60</v>
      </c>
      <c r="M177" s="7" t="s">
        <v>193</v>
      </c>
      <c r="N177" s="6"/>
    </row>
    <row r="178" spans="1:14" x14ac:dyDescent="0.3">
      <c r="A178" s="5">
        <v>46091</v>
      </c>
      <c r="B178" s="10">
        <f ca="1">TODAY()-A178</f>
        <v>49</v>
      </c>
      <c r="C178" s="6">
        <v>1910128</v>
      </c>
      <c r="D178" s="13" t="s">
        <v>88</v>
      </c>
      <c r="E178" s="6">
        <v>64992115117</v>
      </c>
      <c r="F178" s="6" t="s">
        <v>429</v>
      </c>
      <c r="G178" s="6">
        <v>1</v>
      </c>
      <c r="H178" s="5">
        <v>46128</v>
      </c>
      <c r="I178" s="5">
        <v>46129</v>
      </c>
      <c r="J178" s="6" t="s">
        <v>154</v>
      </c>
      <c r="K178" s="5">
        <v>46132</v>
      </c>
      <c r="L178" s="7" t="s">
        <v>60</v>
      </c>
      <c r="M178" s="7" t="s">
        <v>194</v>
      </c>
      <c r="N178" s="6"/>
    </row>
    <row r="179" spans="1:14" x14ac:dyDescent="0.3">
      <c r="A179" s="5">
        <v>46092</v>
      </c>
      <c r="B179" s="10">
        <f ca="1">TODAY()-A179</f>
        <v>48</v>
      </c>
      <c r="C179" s="6">
        <v>1910383</v>
      </c>
      <c r="D179" s="13" t="s">
        <v>98</v>
      </c>
      <c r="E179" s="6">
        <v>44999680927</v>
      </c>
      <c r="F179" s="6"/>
      <c r="G179" s="6">
        <v>1</v>
      </c>
      <c r="H179" s="6"/>
      <c r="I179" s="5">
        <v>46106</v>
      </c>
      <c r="J179" s="6" t="s">
        <v>163</v>
      </c>
      <c r="K179" s="5">
        <v>46107</v>
      </c>
      <c r="L179" s="7" t="s">
        <v>60</v>
      </c>
      <c r="M179" s="7" t="s">
        <v>194</v>
      </c>
      <c r="N179" s="6"/>
    </row>
    <row r="180" spans="1:14" x14ac:dyDescent="0.3">
      <c r="A180" s="5">
        <v>46092</v>
      </c>
      <c r="B180" s="10">
        <f ca="1">TODAY()-A180</f>
        <v>48</v>
      </c>
      <c r="C180" s="6">
        <v>1910564</v>
      </c>
      <c r="D180" s="13" t="s">
        <v>96</v>
      </c>
      <c r="E180" s="6">
        <v>4699410711</v>
      </c>
      <c r="F180" s="6" t="s">
        <v>187</v>
      </c>
      <c r="G180" s="6">
        <v>1</v>
      </c>
      <c r="H180" s="5">
        <v>46102</v>
      </c>
      <c r="I180" s="5">
        <v>46105</v>
      </c>
      <c r="J180" s="6" t="s">
        <v>165</v>
      </c>
      <c r="K180" s="5">
        <v>46120</v>
      </c>
      <c r="L180" s="7" t="s">
        <v>60</v>
      </c>
      <c r="M180" s="7" t="s">
        <v>194</v>
      </c>
      <c r="N180" s="6"/>
    </row>
    <row r="181" spans="1:14" x14ac:dyDescent="0.3">
      <c r="A181" s="5">
        <v>46092</v>
      </c>
      <c r="B181" s="10">
        <f ca="1">TODAY()-A181</f>
        <v>48</v>
      </c>
      <c r="C181" s="6">
        <v>1910567</v>
      </c>
      <c r="D181" s="13" t="s">
        <v>101</v>
      </c>
      <c r="E181" s="6">
        <v>51981309647</v>
      </c>
      <c r="F181" s="6" t="s">
        <v>185</v>
      </c>
      <c r="G181" s="6">
        <v>1</v>
      </c>
      <c r="H181" s="5">
        <v>46097</v>
      </c>
      <c r="I181" s="5">
        <v>46114</v>
      </c>
      <c r="J181" s="6" t="s">
        <v>165</v>
      </c>
      <c r="K181" s="5">
        <v>46127</v>
      </c>
      <c r="L181" s="7" t="s">
        <v>60</v>
      </c>
      <c r="M181" s="7" t="s">
        <v>194</v>
      </c>
      <c r="N181" s="6" t="s">
        <v>197</v>
      </c>
    </row>
    <row r="182" spans="1:14" x14ac:dyDescent="0.3">
      <c r="A182" s="5">
        <v>46092</v>
      </c>
      <c r="B182" s="10">
        <f ca="1">TODAY()-A182</f>
        <v>48</v>
      </c>
      <c r="C182" s="6">
        <v>1910580</v>
      </c>
      <c r="D182" s="13" t="s">
        <v>91</v>
      </c>
      <c r="E182" s="6">
        <v>18997539451</v>
      </c>
      <c r="F182" s="6" t="s">
        <v>196</v>
      </c>
      <c r="G182" s="6">
        <v>1</v>
      </c>
      <c r="H182" s="5">
        <v>46093</v>
      </c>
      <c r="I182" s="5">
        <v>46099</v>
      </c>
      <c r="J182" s="6" t="s">
        <v>152</v>
      </c>
      <c r="K182" s="5">
        <v>46101</v>
      </c>
      <c r="L182" s="7" t="s">
        <v>60</v>
      </c>
      <c r="M182" s="7" t="s">
        <v>194</v>
      </c>
      <c r="N182" s="6"/>
    </row>
    <row r="183" spans="1:14" x14ac:dyDescent="0.3">
      <c r="A183" s="5">
        <v>46092</v>
      </c>
      <c r="B183" s="10">
        <f ca="1">TODAY()-A183</f>
        <v>48</v>
      </c>
      <c r="C183" s="6">
        <v>1910668</v>
      </c>
      <c r="D183" s="13" t="s">
        <v>102</v>
      </c>
      <c r="E183" s="6">
        <v>33999117107</v>
      </c>
      <c r="F183" s="6" t="s">
        <v>196</v>
      </c>
      <c r="G183" s="6">
        <v>1</v>
      </c>
      <c r="H183" s="5">
        <v>46118</v>
      </c>
      <c r="I183" s="5">
        <v>46120</v>
      </c>
      <c r="J183" s="6" t="s">
        <v>198</v>
      </c>
      <c r="K183" s="5">
        <v>46121</v>
      </c>
      <c r="L183" s="7" t="s">
        <v>60</v>
      </c>
      <c r="M183" s="7" t="s">
        <v>194</v>
      </c>
      <c r="N183" s="6" t="s">
        <v>197</v>
      </c>
    </row>
    <row r="184" spans="1:14" x14ac:dyDescent="0.3">
      <c r="A184" s="5">
        <v>46092</v>
      </c>
      <c r="B184" s="10">
        <f ca="1">TODAY()-A184</f>
        <v>48</v>
      </c>
      <c r="C184" s="6">
        <v>1910670</v>
      </c>
      <c r="D184" s="13" t="s">
        <v>236</v>
      </c>
      <c r="E184" s="6">
        <v>34991898075</v>
      </c>
      <c r="F184" s="6" t="s">
        <v>196</v>
      </c>
      <c r="G184" s="6">
        <v>1</v>
      </c>
      <c r="H184" s="5">
        <v>46094</v>
      </c>
      <c r="I184" s="5">
        <v>46104</v>
      </c>
      <c r="J184" s="6" t="s">
        <v>165</v>
      </c>
      <c r="K184" s="5">
        <v>46120</v>
      </c>
      <c r="L184" s="7" t="s">
        <v>60</v>
      </c>
      <c r="M184" s="7" t="s">
        <v>194</v>
      </c>
      <c r="N184" s="6"/>
    </row>
    <row r="185" spans="1:14" x14ac:dyDescent="0.3">
      <c r="A185" s="5">
        <v>46093</v>
      </c>
      <c r="B185" s="10">
        <f ca="1">TODAY()-A185</f>
        <v>47</v>
      </c>
      <c r="C185" s="6">
        <v>1910806</v>
      </c>
      <c r="D185" s="13" t="s">
        <v>116</v>
      </c>
      <c r="E185" s="6">
        <v>51991529907</v>
      </c>
      <c r="F185" s="6" t="s">
        <v>512</v>
      </c>
      <c r="G185" s="6">
        <v>1</v>
      </c>
      <c r="H185" s="5">
        <v>46128</v>
      </c>
      <c r="I185" s="5">
        <v>46128</v>
      </c>
      <c r="J185" s="6" t="s">
        <v>165</v>
      </c>
      <c r="K185" s="5">
        <v>46128</v>
      </c>
      <c r="L185" s="7" t="s">
        <v>60</v>
      </c>
      <c r="M185" s="7" t="s">
        <v>194</v>
      </c>
      <c r="N185" s="6"/>
    </row>
    <row r="186" spans="1:14" x14ac:dyDescent="0.3">
      <c r="A186" s="5">
        <v>46093</v>
      </c>
      <c r="B186" s="10">
        <f ca="1">TODAY()-A186</f>
        <v>47</v>
      </c>
      <c r="C186" s="9">
        <v>1910910</v>
      </c>
      <c r="D186" s="13" t="s">
        <v>108</v>
      </c>
      <c r="E186" s="10">
        <v>16981541813</v>
      </c>
      <c r="F186" s="6" t="s">
        <v>196</v>
      </c>
      <c r="G186" s="6">
        <v>1</v>
      </c>
      <c r="H186" s="5">
        <v>46094</v>
      </c>
      <c r="I186" s="5">
        <v>46098</v>
      </c>
      <c r="J186" s="6" t="s">
        <v>239</v>
      </c>
      <c r="K186" s="5">
        <v>46132</v>
      </c>
      <c r="L186" s="7" t="s">
        <v>60</v>
      </c>
      <c r="M186" s="7" t="s">
        <v>194</v>
      </c>
      <c r="N186" s="6"/>
    </row>
    <row r="187" spans="1:14" x14ac:dyDescent="0.3">
      <c r="A187" s="5">
        <v>46093</v>
      </c>
      <c r="B187" s="10">
        <f ca="1">TODAY()-A187</f>
        <v>47</v>
      </c>
      <c r="C187" s="6">
        <v>1905889</v>
      </c>
      <c r="D187" s="13" t="s">
        <v>120</v>
      </c>
      <c r="E187" s="6">
        <v>18996666130</v>
      </c>
      <c r="F187" s="6" t="s">
        <v>185</v>
      </c>
      <c r="G187" s="6">
        <v>1</v>
      </c>
      <c r="H187" s="5">
        <v>46097</v>
      </c>
      <c r="I187" s="5">
        <v>46098</v>
      </c>
      <c r="J187" s="6" t="s">
        <v>165</v>
      </c>
      <c r="K187" s="5">
        <v>46098</v>
      </c>
      <c r="L187" s="7" t="s">
        <v>60</v>
      </c>
      <c r="M187" s="7" t="s">
        <v>194</v>
      </c>
      <c r="N187" s="6"/>
    </row>
    <row r="188" spans="1:14" x14ac:dyDescent="0.3">
      <c r="A188" s="5">
        <v>46093</v>
      </c>
      <c r="B188" s="10">
        <f ca="1">TODAY()-A188</f>
        <v>47</v>
      </c>
      <c r="C188" s="6">
        <v>1907316</v>
      </c>
      <c r="D188" s="13" t="s">
        <v>11</v>
      </c>
      <c r="E188" s="6">
        <v>14997786917</v>
      </c>
      <c r="F188" s="6" t="s">
        <v>199</v>
      </c>
      <c r="G188" s="6">
        <v>1</v>
      </c>
      <c r="H188" s="5">
        <v>46094</v>
      </c>
      <c r="I188" s="5">
        <v>46101</v>
      </c>
      <c r="J188" s="6" t="s">
        <v>198</v>
      </c>
      <c r="K188" s="5">
        <v>46101</v>
      </c>
      <c r="L188" s="7" t="s">
        <v>60</v>
      </c>
      <c r="M188" s="7" t="s">
        <v>194</v>
      </c>
      <c r="N188" s="6"/>
    </row>
    <row r="189" spans="1:14" x14ac:dyDescent="0.3">
      <c r="A189" s="5">
        <v>46093</v>
      </c>
      <c r="B189" s="10">
        <f ca="1">TODAY()-A189</f>
        <v>47</v>
      </c>
      <c r="C189" s="6">
        <v>1908303</v>
      </c>
      <c r="D189" s="13" t="s">
        <v>39</v>
      </c>
      <c r="E189" s="6">
        <v>18991255127</v>
      </c>
      <c r="F189" s="6" t="s">
        <v>185</v>
      </c>
      <c r="G189" s="6">
        <v>1</v>
      </c>
      <c r="H189" s="5">
        <v>46094</v>
      </c>
      <c r="I189" s="5">
        <v>46097</v>
      </c>
      <c r="J189" s="6" t="s">
        <v>165</v>
      </c>
      <c r="K189" s="5">
        <v>46097</v>
      </c>
      <c r="L189" s="7" t="s">
        <v>60</v>
      </c>
      <c r="M189" s="7" t="s">
        <v>194</v>
      </c>
      <c r="N189" s="6"/>
    </row>
    <row r="190" spans="1:14" x14ac:dyDescent="0.3">
      <c r="A190" s="5">
        <v>46093</v>
      </c>
      <c r="B190" s="10">
        <f ca="1">TODAY()-A190</f>
        <v>47</v>
      </c>
      <c r="C190" s="6">
        <v>1910800</v>
      </c>
      <c r="D190" s="13" t="s">
        <v>115</v>
      </c>
      <c r="E190" s="6">
        <v>16992287830</v>
      </c>
      <c r="F190" s="6" t="s">
        <v>196</v>
      </c>
      <c r="G190" s="6">
        <v>1</v>
      </c>
      <c r="H190" s="5">
        <v>46094</v>
      </c>
      <c r="I190" s="5">
        <v>46099</v>
      </c>
      <c r="J190" s="6" t="s">
        <v>153</v>
      </c>
      <c r="K190" s="5">
        <v>46099</v>
      </c>
      <c r="L190" s="7" t="s">
        <v>60</v>
      </c>
      <c r="M190" s="7" t="s">
        <v>194</v>
      </c>
      <c r="N190" s="6"/>
    </row>
    <row r="191" spans="1:14" x14ac:dyDescent="0.3">
      <c r="A191" s="5">
        <v>46093</v>
      </c>
      <c r="B191" s="10">
        <f ca="1">TODAY()-A191</f>
        <v>47</v>
      </c>
      <c r="C191" s="6">
        <v>1910808</v>
      </c>
      <c r="D191" s="13" t="s">
        <v>117</v>
      </c>
      <c r="E191" s="6">
        <v>19996345551</v>
      </c>
      <c r="F191" s="6" t="s">
        <v>187</v>
      </c>
      <c r="G191" s="6">
        <v>1</v>
      </c>
      <c r="H191" s="5">
        <v>46094</v>
      </c>
      <c r="I191" s="5">
        <v>46093</v>
      </c>
      <c r="J191" s="6" t="s">
        <v>165</v>
      </c>
      <c r="K191" s="5">
        <v>46100</v>
      </c>
      <c r="L191" s="7" t="s">
        <v>60</v>
      </c>
      <c r="M191" s="7" t="s">
        <v>194</v>
      </c>
      <c r="N191" s="6"/>
    </row>
    <row r="192" spans="1:14" x14ac:dyDescent="0.3">
      <c r="A192" s="5">
        <v>46093</v>
      </c>
      <c r="B192" s="10">
        <f ca="1">TODAY()-A192</f>
        <v>47</v>
      </c>
      <c r="C192" s="6">
        <v>1910816</v>
      </c>
      <c r="D192" s="13" t="s">
        <v>118</v>
      </c>
      <c r="E192" s="6">
        <v>55997248642</v>
      </c>
      <c r="F192" s="6" t="s">
        <v>196</v>
      </c>
      <c r="G192" s="6">
        <v>1</v>
      </c>
      <c r="H192" s="5">
        <v>46094</v>
      </c>
      <c r="I192" s="5">
        <v>46102</v>
      </c>
      <c r="J192" s="6" t="s">
        <v>165</v>
      </c>
      <c r="K192" s="5">
        <v>46106</v>
      </c>
      <c r="L192" s="7" t="s">
        <v>60</v>
      </c>
      <c r="M192" s="7" t="s">
        <v>194</v>
      </c>
      <c r="N192" s="6"/>
    </row>
    <row r="193" spans="1:14" x14ac:dyDescent="0.3">
      <c r="A193" s="5">
        <v>46093</v>
      </c>
      <c r="B193" s="10">
        <f ca="1">TODAY()-A193</f>
        <v>47</v>
      </c>
      <c r="C193" s="9">
        <v>1910819</v>
      </c>
      <c r="D193" s="13" t="s">
        <v>106</v>
      </c>
      <c r="E193" s="6">
        <v>16992275742</v>
      </c>
      <c r="F193" s="6" t="s">
        <v>196</v>
      </c>
      <c r="G193" s="6">
        <v>1</v>
      </c>
      <c r="H193" s="5">
        <v>46094</v>
      </c>
      <c r="I193" s="5">
        <v>46113</v>
      </c>
      <c r="J193" s="6" t="s">
        <v>198</v>
      </c>
      <c r="K193" s="5">
        <v>46120</v>
      </c>
      <c r="L193" s="7" t="s">
        <v>60</v>
      </c>
      <c r="M193" s="7" t="s">
        <v>194</v>
      </c>
      <c r="N193" s="6"/>
    </row>
    <row r="194" spans="1:14" x14ac:dyDescent="0.3">
      <c r="A194" s="5">
        <v>46093</v>
      </c>
      <c r="B194" s="10">
        <f ca="1">TODAY()-A194</f>
        <v>47</v>
      </c>
      <c r="C194" s="6">
        <v>1911048</v>
      </c>
      <c r="D194" s="13" t="s">
        <v>112</v>
      </c>
      <c r="E194" s="6">
        <v>17991113091</v>
      </c>
      <c r="F194" s="6" t="s">
        <v>185</v>
      </c>
      <c r="G194" s="6">
        <v>1</v>
      </c>
      <c r="H194" s="5">
        <v>46108</v>
      </c>
      <c r="I194" s="5">
        <v>46108</v>
      </c>
      <c r="J194" s="6" t="s">
        <v>165</v>
      </c>
      <c r="K194" s="5">
        <v>46112</v>
      </c>
      <c r="L194" s="7" t="s">
        <v>60</v>
      </c>
      <c r="M194" s="7" t="s">
        <v>194</v>
      </c>
      <c r="N194" s="6"/>
    </row>
    <row r="195" spans="1:14" x14ac:dyDescent="0.3">
      <c r="A195" s="5">
        <v>46093</v>
      </c>
      <c r="B195" s="10">
        <f ca="1">TODAY()-A195</f>
        <v>47</v>
      </c>
      <c r="C195" s="6">
        <v>1911050</v>
      </c>
      <c r="D195" s="13" t="s">
        <v>113</v>
      </c>
      <c r="E195" s="6">
        <v>91991526484</v>
      </c>
      <c r="F195" s="6" t="s">
        <v>196</v>
      </c>
      <c r="G195" s="6">
        <v>1</v>
      </c>
      <c r="H195" s="5">
        <v>46094</v>
      </c>
      <c r="I195" s="5">
        <v>46102</v>
      </c>
      <c r="J195" s="6" t="s">
        <v>165</v>
      </c>
      <c r="K195" s="5">
        <v>46104</v>
      </c>
      <c r="L195" s="7" t="s">
        <v>60</v>
      </c>
      <c r="M195" s="7" t="s">
        <v>194</v>
      </c>
      <c r="N195" s="6"/>
    </row>
    <row r="196" spans="1:14" x14ac:dyDescent="0.3">
      <c r="A196" s="5">
        <v>46094</v>
      </c>
      <c r="B196" s="10">
        <f ca="1">TODAY()-A196</f>
        <v>46</v>
      </c>
      <c r="C196" s="6">
        <v>1911334</v>
      </c>
      <c r="D196" s="13" t="s">
        <v>126</v>
      </c>
      <c r="E196" s="6">
        <v>16992507524</v>
      </c>
      <c r="F196" s="6" t="s">
        <v>196</v>
      </c>
      <c r="G196" s="6">
        <v>1</v>
      </c>
      <c r="H196" s="5">
        <v>46097</v>
      </c>
      <c r="I196" s="5">
        <v>46112</v>
      </c>
      <c r="J196" s="6" t="s">
        <v>165</v>
      </c>
      <c r="K196" s="5">
        <v>46113</v>
      </c>
      <c r="L196" s="7" t="s">
        <v>60</v>
      </c>
      <c r="M196" s="7" t="s">
        <v>194</v>
      </c>
      <c r="N196" s="6" t="s">
        <v>197</v>
      </c>
    </row>
    <row r="197" spans="1:14" x14ac:dyDescent="0.3">
      <c r="A197" s="5">
        <v>46094</v>
      </c>
      <c r="B197" s="10">
        <f ca="1">TODAY()-A197</f>
        <v>46</v>
      </c>
      <c r="C197" s="6">
        <v>1911380</v>
      </c>
      <c r="D197" s="13" t="s">
        <v>124</v>
      </c>
      <c r="E197" s="6">
        <v>46999006436</v>
      </c>
      <c r="F197" s="6" t="s">
        <v>196</v>
      </c>
      <c r="G197" s="6">
        <v>1</v>
      </c>
      <c r="H197" s="5">
        <v>46097</v>
      </c>
      <c r="I197" s="5">
        <v>46106</v>
      </c>
      <c r="J197" s="6" t="s">
        <v>168</v>
      </c>
      <c r="K197" s="5">
        <v>46108</v>
      </c>
      <c r="L197" s="7" t="s">
        <v>60</v>
      </c>
      <c r="M197" s="7" t="s">
        <v>194</v>
      </c>
      <c r="N197" s="6"/>
    </row>
    <row r="198" spans="1:14" x14ac:dyDescent="0.3">
      <c r="A198" s="5">
        <v>46094</v>
      </c>
      <c r="B198" s="10">
        <f ca="1">TODAY()-A198</f>
        <v>46</v>
      </c>
      <c r="C198" s="6">
        <v>1911382</v>
      </c>
      <c r="D198" s="13" t="s">
        <v>128</v>
      </c>
      <c r="E198" s="6">
        <v>18991383281</v>
      </c>
      <c r="F198" s="6" t="s">
        <v>196</v>
      </c>
      <c r="G198" s="6">
        <v>1</v>
      </c>
      <c r="H198" s="5">
        <v>46095</v>
      </c>
      <c r="I198" s="5">
        <v>46097</v>
      </c>
      <c r="J198" s="6" t="s">
        <v>147</v>
      </c>
      <c r="K198" s="5">
        <v>46100</v>
      </c>
      <c r="L198" s="7" t="s">
        <v>60</v>
      </c>
      <c r="M198" s="7" t="s">
        <v>194</v>
      </c>
      <c r="N198" s="6"/>
    </row>
    <row r="199" spans="1:14" x14ac:dyDescent="0.3">
      <c r="A199" s="5">
        <v>46094</v>
      </c>
      <c r="B199" s="10">
        <f ca="1">TODAY()-A199</f>
        <v>46</v>
      </c>
      <c r="C199" s="6">
        <v>1911395</v>
      </c>
      <c r="D199" s="13" t="s">
        <v>123</v>
      </c>
      <c r="E199" s="6">
        <v>48996022324</v>
      </c>
      <c r="F199" s="6" t="s">
        <v>187</v>
      </c>
      <c r="G199" s="6">
        <v>1</v>
      </c>
      <c r="H199" s="5">
        <v>46097</v>
      </c>
      <c r="I199" s="5">
        <v>46098</v>
      </c>
      <c r="J199" s="6" t="s">
        <v>160</v>
      </c>
      <c r="K199" s="5">
        <v>46099</v>
      </c>
      <c r="L199" s="7" t="s">
        <v>60</v>
      </c>
      <c r="M199" s="7" t="s">
        <v>194</v>
      </c>
      <c r="N199" s="6"/>
    </row>
    <row r="200" spans="1:14" x14ac:dyDescent="0.3">
      <c r="A200" s="5">
        <v>46094</v>
      </c>
      <c r="B200" s="10">
        <f ca="1">TODAY()-A200</f>
        <v>46</v>
      </c>
      <c r="C200" s="6">
        <v>1911581</v>
      </c>
      <c r="D200" s="13" t="s">
        <v>131</v>
      </c>
      <c r="E200" s="6">
        <v>55999917177</v>
      </c>
      <c r="F200" s="6" t="s">
        <v>196</v>
      </c>
      <c r="G200" s="6">
        <v>1</v>
      </c>
      <c r="H200" s="5">
        <v>46097</v>
      </c>
      <c r="I200" s="5">
        <v>46101</v>
      </c>
      <c r="J200" s="6" t="s">
        <v>160</v>
      </c>
      <c r="K200" s="5">
        <v>46101</v>
      </c>
      <c r="L200" s="7" t="s">
        <v>60</v>
      </c>
      <c r="M200" s="7" t="s">
        <v>194</v>
      </c>
      <c r="N200" s="6"/>
    </row>
    <row r="201" spans="1:14" x14ac:dyDescent="0.3">
      <c r="A201" s="5">
        <v>46094</v>
      </c>
      <c r="B201" s="10">
        <f ca="1">TODAY()-A201</f>
        <v>46</v>
      </c>
      <c r="C201" s="6">
        <v>1911460</v>
      </c>
      <c r="D201" s="13" t="s">
        <v>133</v>
      </c>
      <c r="E201" s="6">
        <v>17991695191</v>
      </c>
      <c r="F201" s="6" t="s">
        <v>370</v>
      </c>
      <c r="G201" s="6">
        <v>3</v>
      </c>
      <c r="H201" s="5">
        <v>46125</v>
      </c>
      <c r="I201" s="5">
        <v>46125</v>
      </c>
      <c r="J201" s="6" t="s">
        <v>317</v>
      </c>
      <c r="K201" s="5">
        <v>46126</v>
      </c>
      <c r="L201" s="7" t="s">
        <v>60</v>
      </c>
      <c r="M201" s="7" t="s">
        <v>194</v>
      </c>
      <c r="N201" s="6" t="s">
        <v>197</v>
      </c>
    </row>
    <row r="202" spans="1:14" x14ac:dyDescent="0.3">
      <c r="A202" s="5">
        <v>46097</v>
      </c>
      <c r="B202" s="10">
        <f ca="1">TODAY()-A202</f>
        <v>43</v>
      </c>
      <c r="C202" s="6">
        <v>1911745</v>
      </c>
      <c r="D202" s="13" t="s">
        <v>143</v>
      </c>
      <c r="E202" s="6">
        <v>16991423474</v>
      </c>
      <c r="F202" s="6" t="s">
        <v>201</v>
      </c>
      <c r="G202" s="6">
        <v>1</v>
      </c>
      <c r="H202" s="5">
        <v>46099</v>
      </c>
      <c r="I202" s="5">
        <v>46112</v>
      </c>
      <c r="J202" s="6" t="s">
        <v>165</v>
      </c>
      <c r="K202" s="5">
        <v>46112</v>
      </c>
      <c r="L202" s="7" t="s">
        <v>60</v>
      </c>
      <c r="M202" s="7" t="s">
        <v>194</v>
      </c>
      <c r="N202" s="6"/>
    </row>
    <row r="203" spans="1:14" x14ac:dyDescent="0.3">
      <c r="A203" s="5">
        <v>46097</v>
      </c>
      <c r="B203" s="10">
        <f ca="1">TODAY()-A203</f>
        <v>43</v>
      </c>
      <c r="C203" s="6">
        <v>1912178</v>
      </c>
      <c r="D203" s="13" t="s">
        <v>137</v>
      </c>
      <c r="E203" s="6">
        <v>14991932364</v>
      </c>
      <c r="F203" s="6" t="s">
        <v>205</v>
      </c>
      <c r="G203" s="6">
        <v>1</v>
      </c>
      <c r="H203" s="5">
        <v>46099</v>
      </c>
      <c r="I203" s="5">
        <v>46099</v>
      </c>
      <c r="J203" s="6" t="s">
        <v>162</v>
      </c>
      <c r="K203" s="5">
        <v>46101</v>
      </c>
      <c r="L203" s="7" t="s">
        <v>60</v>
      </c>
      <c r="M203" s="7" t="s">
        <v>194</v>
      </c>
      <c r="N203" s="6"/>
    </row>
    <row r="204" spans="1:14" x14ac:dyDescent="0.3">
      <c r="A204" s="5">
        <v>46118</v>
      </c>
      <c r="B204" s="10">
        <f ca="1">TODAY()-A204</f>
        <v>22</v>
      </c>
      <c r="C204" s="6">
        <v>1919591</v>
      </c>
      <c r="D204" s="13" t="s">
        <v>207</v>
      </c>
      <c r="E204" s="10">
        <v>49988413155</v>
      </c>
      <c r="F204" s="6" t="s">
        <v>187</v>
      </c>
      <c r="G204" s="6">
        <v>1</v>
      </c>
      <c r="H204" s="5">
        <v>46129</v>
      </c>
      <c r="I204" s="5">
        <v>46132</v>
      </c>
      <c r="J204" s="6" t="s">
        <v>154</v>
      </c>
      <c r="K204" s="5">
        <v>46132</v>
      </c>
      <c r="L204" s="7" t="s">
        <v>60</v>
      </c>
      <c r="M204" s="7" t="s">
        <v>194</v>
      </c>
      <c r="N204" s="6"/>
    </row>
    <row r="205" spans="1:14" x14ac:dyDescent="0.3">
      <c r="A205" s="5">
        <v>46118</v>
      </c>
      <c r="B205" s="10">
        <f ca="1">TODAY()-A205</f>
        <v>22</v>
      </c>
      <c r="C205" s="6">
        <v>1919585</v>
      </c>
      <c r="D205" s="13" t="s">
        <v>206</v>
      </c>
      <c r="E205" s="6">
        <v>21965582074</v>
      </c>
      <c r="F205" s="6" t="s">
        <v>196</v>
      </c>
      <c r="G205" s="6">
        <v>1</v>
      </c>
      <c r="H205" s="5">
        <v>46118</v>
      </c>
      <c r="I205" s="5">
        <v>46119</v>
      </c>
      <c r="J205" s="6" t="s">
        <v>165</v>
      </c>
      <c r="K205" s="5">
        <v>46119</v>
      </c>
      <c r="L205" s="7" t="s">
        <v>60</v>
      </c>
      <c r="M205" s="7" t="s">
        <v>194</v>
      </c>
      <c r="N205" s="6"/>
    </row>
    <row r="206" spans="1:14" x14ac:dyDescent="0.3">
      <c r="A206" s="5">
        <v>46118</v>
      </c>
      <c r="B206" s="10">
        <f ca="1">TODAY()-A206</f>
        <v>22</v>
      </c>
      <c r="C206" s="6">
        <v>1919646</v>
      </c>
      <c r="D206" s="13" t="s">
        <v>208</v>
      </c>
      <c r="E206" s="6" t="s">
        <v>245</v>
      </c>
      <c r="F206" s="6" t="s">
        <v>196</v>
      </c>
      <c r="G206" s="6">
        <v>1</v>
      </c>
      <c r="H206" s="5">
        <v>46118</v>
      </c>
      <c r="I206" s="5">
        <v>46119</v>
      </c>
      <c r="J206" s="6" t="s">
        <v>165</v>
      </c>
      <c r="K206" s="5">
        <v>46119</v>
      </c>
      <c r="L206" s="7" t="s">
        <v>60</v>
      </c>
      <c r="M206" s="7" t="s">
        <v>194</v>
      </c>
      <c r="N206" s="6"/>
    </row>
    <row r="207" spans="1:14" x14ac:dyDescent="0.3">
      <c r="A207" s="5">
        <v>46118</v>
      </c>
      <c r="B207" s="10">
        <f ca="1">TODAY()-A207</f>
        <v>22</v>
      </c>
      <c r="C207" s="6">
        <v>1919647</v>
      </c>
      <c r="D207" s="13" t="s">
        <v>209</v>
      </c>
      <c r="E207" s="6" t="s">
        <v>246</v>
      </c>
      <c r="F207" s="6" t="s">
        <v>185</v>
      </c>
      <c r="G207" s="6">
        <v>1</v>
      </c>
      <c r="H207" s="5">
        <v>46118</v>
      </c>
      <c r="I207" s="5">
        <v>46119</v>
      </c>
      <c r="J207" s="6" t="s">
        <v>165</v>
      </c>
      <c r="K207" s="5">
        <v>46119</v>
      </c>
      <c r="L207" s="7" t="s">
        <v>60</v>
      </c>
      <c r="M207" s="7" t="s">
        <v>194</v>
      </c>
      <c r="N207" s="6"/>
    </row>
    <row r="208" spans="1:14" x14ac:dyDescent="0.3">
      <c r="A208" s="5">
        <v>46118</v>
      </c>
      <c r="B208" s="10">
        <f ca="1">TODAY()-A208</f>
        <v>22</v>
      </c>
      <c r="C208" s="6">
        <v>1919675</v>
      </c>
      <c r="D208" s="13" t="s">
        <v>212</v>
      </c>
      <c r="E208" s="10">
        <v>3588656683</v>
      </c>
      <c r="F208" s="6" t="s">
        <v>196</v>
      </c>
      <c r="G208" s="6">
        <v>1</v>
      </c>
      <c r="H208" s="5">
        <v>46119</v>
      </c>
      <c r="I208" s="5">
        <v>46121</v>
      </c>
      <c r="J208" s="6" t="s">
        <v>244</v>
      </c>
      <c r="K208" s="5">
        <v>46122</v>
      </c>
      <c r="L208" s="7" t="s">
        <v>60</v>
      </c>
      <c r="M208" s="7" t="s">
        <v>194</v>
      </c>
      <c r="N208" s="6"/>
    </row>
    <row r="209" spans="1:14" x14ac:dyDescent="0.3">
      <c r="A209" s="5">
        <v>46118</v>
      </c>
      <c r="B209" s="10">
        <f ca="1">TODAY()-A209</f>
        <v>22</v>
      </c>
      <c r="C209" s="6">
        <v>1919729</v>
      </c>
      <c r="D209" s="13" t="s">
        <v>214</v>
      </c>
      <c r="E209" s="6" t="s">
        <v>298</v>
      </c>
      <c r="F209" s="6" t="s">
        <v>185</v>
      </c>
      <c r="G209" s="6">
        <v>1</v>
      </c>
      <c r="H209" s="5">
        <v>46119</v>
      </c>
      <c r="I209" s="5">
        <v>46121</v>
      </c>
      <c r="J209" s="16">
        <v>0.4375</v>
      </c>
      <c r="K209" s="5">
        <v>46121</v>
      </c>
      <c r="L209" s="7" t="s">
        <v>60</v>
      </c>
      <c r="M209" s="7" t="s">
        <v>194</v>
      </c>
      <c r="N209" s="6"/>
    </row>
    <row r="210" spans="1:14" x14ac:dyDescent="0.3">
      <c r="A210" s="5">
        <v>46118</v>
      </c>
      <c r="B210" s="10">
        <f ca="1">TODAY()-A210</f>
        <v>22</v>
      </c>
      <c r="C210" s="6">
        <v>1919730</v>
      </c>
      <c r="D210" s="13" t="s">
        <v>215</v>
      </c>
      <c r="E210" s="6">
        <v>16999990217</v>
      </c>
      <c r="F210" s="6" t="s">
        <v>187</v>
      </c>
      <c r="G210" s="6">
        <v>1</v>
      </c>
      <c r="H210" s="5">
        <v>46119</v>
      </c>
      <c r="I210" s="5">
        <v>46119</v>
      </c>
      <c r="J210" s="6" t="s">
        <v>165</v>
      </c>
      <c r="K210" s="5">
        <v>46119</v>
      </c>
      <c r="L210" s="7" t="s">
        <v>60</v>
      </c>
      <c r="M210" s="7" t="s">
        <v>194</v>
      </c>
      <c r="N210" s="6"/>
    </row>
    <row r="211" spans="1:14" x14ac:dyDescent="0.3">
      <c r="A211" s="5">
        <v>46118</v>
      </c>
      <c r="B211" s="10">
        <f ca="1">TODAY()-A211</f>
        <v>22</v>
      </c>
      <c r="C211" s="6">
        <v>1919658</v>
      </c>
      <c r="D211" s="13" t="s">
        <v>210</v>
      </c>
      <c r="E211" s="6">
        <v>11984768787</v>
      </c>
      <c r="F211" s="6" t="s">
        <v>196</v>
      </c>
      <c r="G211" s="6">
        <v>1</v>
      </c>
      <c r="H211" s="5">
        <v>46121</v>
      </c>
      <c r="I211" s="5">
        <v>46122</v>
      </c>
      <c r="J211" s="6" t="s">
        <v>153</v>
      </c>
      <c r="K211" s="5">
        <v>46127</v>
      </c>
      <c r="L211" s="7" t="s">
        <v>60</v>
      </c>
      <c r="M211" s="7" t="s">
        <v>194</v>
      </c>
      <c r="N211" s="6"/>
    </row>
    <row r="212" spans="1:14" x14ac:dyDescent="0.3">
      <c r="A212" s="5">
        <v>46119</v>
      </c>
      <c r="B212" s="10">
        <f ca="1">TODAY()-A212</f>
        <v>21</v>
      </c>
      <c r="C212" s="6">
        <v>1919972</v>
      </c>
      <c r="D212" s="13" t="s">
        <v>223</v>
      </c>
      <c r="E212" s="6" t="s">
        <v>249</v>
      </c>
      <c r="F212" s="6" t="s">
        <v>196</v>
      </c>
      <c r="G212" s="6">
        <v>2</v>
      </c>
      <c r="H212" s="5">
        <v>46119</v>
      </c>
      <c r="I212" s="5">
        <v>46121</v>
      </c>
      <c r="J212" s="6" t="s">
        <v>243</v>
      </c>
      <c r="K212" s="5">
        <v>46121</v>
      </c>
      <c r="L212" s="7" t="s">
        <v>60</v>
      </c>
      <c r="M212" s="7" t="s">
        <v>194</v>
      </c>
      <c r="N212" s="6"/>
    </row>
    <row r="213" spans="1:14" x14ac:dyDescent="0.3">
      <c r="A213" s="5">
        <v>46119</v>
      </c>
      <c r="B213" s="10">
        <f ca="1">TODAY()-A213</f>
        <v>21</v>
      </c>
      <c r="C213" s="6">
        <v>1919974</v>
      </c>
      <c r="D213" s="13" t="s">
        <v>224</v>
      </c>
      <c r="E213" s="6">
        <v>16993019551</v>
      </c>
      <c r="F213" s="6" t="s">
        <v>185</v>
      </c>
      <c r="G213" s="6">
        <v>1</v>
      </c>
      <c r="H213" s="5">
        <v>46119</v>
      </c>
      <c r="I213" s="5">
        <v>46120</v>
      </c>
      <c r="J213" s="6" t="s">
        <v>147</v>
      </c>
      <c r="K213" s="5">
        <v>46120</v>
      </c>
      <c r="L213" s="7" t="s">
        <v>60</v>
      </c>
      <c r="M213" s="7" t="s">
        <v>194</v>
      </c>
      <c r="N213" s="6"/>
    </row>
    <row r="214" spans="1:14" x14ac:dyDescent="0.3">
      <c r="A214" s="5">
        <v>46119</v>
      </c>
      <c r="B214" s="10">
        <f ca="1">TODAY()-A214</f>
        <v>21</v>
      </c>
      <c r="C214" s="6">
        <v>1919820</v>
      </c>
      <c r="D214" s="13" t="s">
        <v>219</v>
      </c>
      <c r="E214" s="6">
        <v>18991316530</v>
      </c>
      <c r="F214" s="6" t="s">
        <v>366</v>
      </c>
      <c r="G214" s="6">
        <v>3</v>
      </c>
      <c r="H214" s="34">
        <v>46120</v>
      </c>
      <c r="I214" s="34">
        <v>46120</v>
      </c>
      <c r="J214" s="6" t="s">
        <v>165</v>
      </c>
      <c r="K214" s="5">
        <v>46127</v>
      </c>
      <c r="L214" s="7" t="s">
        <v>60</v>
      </c>
      <c r="M214" s="7" t="s">
        <v>194</v>
      </c>
      <c r="N214" s="6"/>
    </row>
    <row r="215" spans="1:14" x14ac:dyDescent="0.3">
      <c r="A215" s="5">
        <v>46119</v>
      </c>
      <c r="B215" s="10">
        <f ca="1">TODAY()-A215</f>
        <v>21</v>
      </c>
      <c r="C215" s="6">
        <v>1919814</v>
      </c>
      <c r="D215" s="13" t="s">
        <v>217</v>
      </c>
      <c r="E215" s="6" t="s">
        <v>248</v>
      </c>
      <c r="F215" s="6" t="s">
        <v>187</v>
      </c>
      <c r="G215" s="6">
        <v>1</v>
      </c>
      <c r="H215" s="5">
        <v>46119</v>
      </c>
      <c r="I215" s="5">
        <v>46120</v>
      </c>
      <c r="J215" s="6" t="s">
        <v>157</v>
      </c>
      <c r="K215" s="5">
        <v>46127</v>
      </c>
      <c r="L215" s="7" t="s">
        <v>60</v>
      </c>
      <c r="M215" s="7" t="s">
        <v>194</v>
      </c>
      <c r="N215" s="6"/>
    </row>
    <row r="216" spans="1:14" x14ac:dyDescent="0.3">
      <c r="A216" s="5">
        <v>46119</v>
      </c>
      <c r="B216" s="10">
        <f ca="1">TODAY()-A216</f>
        <v>21</v>
      </c>
      <c r="C216" s="6">
        <v>1919902</v>
      </c>
      <c r="D216" s="13" t="s">
        <v>221</v>
      </c>
      <c r="E216" s="6" t="s">
        <v>312</v>
      </c>
      <c r="F216" s="6" t="s">
        <v>185</v>
      </c>
      <c r="G216" s="6">
        <v>1</v>
      </c>
      <c r="H216" s="5">
        <v>46120</v>
      </c>
      <c r="I216" s="5">
        <v>46122</v>
      </c>
      <c r="J216" s="6" t="s">
        <v>152</v>
      </c>
      <c r="K216" s="5">
        <v>46127</v>
      </c>
      <c r="L216" s="7" t="s">
        <v>60</v>
      </c>
      <c r="M216" s="7" t="s">
        <v>194</v>
      </c>
      <c r="N216" s="6"/>
    </row>
    <row r="217" spans="1:14" x14ac:dyDescent="0.3">
      <c r="A217" s="5">
        <v>46119</v>
      </c>
      <c r="B217" s="10">
        <f ca="1">TODAY()-A217</f>
        <v>21</v>
      </c>
      <c r="C217" s="6">
        <v>1919904</v>
      </c>
      <c r="D217" s="13" t="s">
        <v>225</v>
      </c>
      <c r="E217" s="6" t="s">
        <v>247</v>
      </c>
      <c r="F217" s="6" t="s">
        <v>199</v>
      </c>
      <c r="G217" s="6">
        <v>1</v>
      </c>
      <c r="H217" s="5">
        <v>46119</v>
      </c>
      <c r="I217" s="5">
        <v>46119</v>
      </c>
      <c r="J217" s="6" t="s">
        <v>165</v>
      </c>
      <c r="K217" s="5">
        <v>46127</v>
      </c>
      <c r="L217" s="7" t="s">
        <v>60</v>
      </c>
      <c r="M217" s="7" t="s">
        <v>194</v>
      </c>
      <c r="N217" s="6"/>
    </row>
    <row r="218" spans="1:14" x14ac:dyDescent="0.3">
      <c r="A218" s="5">
        <v>46119</v>
      </c>
      <c r="B218" s="10">
        <f ca="1">TODAY()-A218</f>
        <v>21</v>
      </c>
      <c r="C218" s="6">
        <v>1919908</v>
      </c>
      <c r="D218" s="13" t="s">
        <v>222</v>
      </c>
      <c r="E218" s="6" t="s">
        <v>311</v>
      </c>
      <c r="F218" s="6" t="s">
        <v>300</v>
      </c>
      <c r="G218" s="6">
        <v>1</v>
      </c>
      <c r="H218" s="5">
        <v>46119</v>
      </c>
      <c r="I218" s="5">
        <v>46121</v>
      </c>
      <c r="J218" s="6" t="s">
        <v>242</v>
      </c>
      <c r="K218" s="5">
        <v>46127</v>
      </c>
      <c r="L218" s="7" t="s">
        <v>60</v>
      </c>
      <c r="M218" s="7" t="s">
        <v>194</v>
      </c>
      <c r="N218" s="6"/>
    </row>
    <row r="219" spans="1:14" x14ac:dyDescent="0.3">
      <c r="A219" s="5">
        <v>46119</v>
      </c>
      <c r="B219" s="10">
        <f ca="1">TODAY()-A219</f>
        <v>21</v>
      </c>
      <c r="C219" s="6">
        <v>1919811</v>
      </c>
      <c r="D219" s="13" t="s">
        <v>216</v>
      </c>
      <c r="E219" s="6">
        <v>16991265056</v>
      </c>
      <c r="F219" s="6" t="s">
        <v>427</v>
      </c>
      <c r="G219" s="6">
        <v>1</v>
      </c>
      <c r="H219" s="35">
        <v>46121</v>
      </c>
      <c r="I219" s="5">
        <v>46122</v>
      </c>
      <c r="J219" s="6" t="s">
        <v>156</v>
      </c>
      <c r="K219" s="5">
        <v>46129</v>
      </c>
      <c r="L219" s="7" t="s">
        <v>60</v>
      </c>
      <c r="M219" s="7" t="s">
        <v>194</v>
      </c>
      <c r="N219" s="6" t="s">
        <v>314</v>
      </c>
    </row>
    <row r="220" spans="1:14" x14ac:dyDescent="0.3">
      <c r="A220" s="5">
        <v>46120</v>
      </c>
      <c r="B220" s="10">
        <f ca="1">TODAY()-A220</f>
        <v>20</v>
      </c>
      <c r="C220" s="6">
        <v>1920356</v>
      </c>
      <c r="D220" s="13" t="s">
        <v>226</v>
      </c>
      <c r="E220" s="6" t="s">
        <v>250</v>
      </c>
      <c r="F220" s="6" t="s">
        <v>301</v>
      </c>
      <c r="G220" s="6">
        <v>4</v>
      </c>
      <c r="H220" s="35">
        <v>46121</v>
      </c>
      <c r="I220" s="35">
        <v>46121</v>
      </c>
      <c r="J220" s="6" t="s">
        <v>165</v>
      </c>
      <c r="K220" s="5">
        <v>46122</v>
      </c>
      <c r="L220" s="7" t="s">
        <v>60</v>
      </c>
      <c r="M220" s="7" t="s">
        <v>194</v>
      </c>
      <c r="N220" s="6"/>
    </row>
    <row r="221" spans="1:14" x14ac:dyDescent="0.3">
      <c r="A221" s="5">
        <v>46120</v>
      </c>
      <c r="B221" s="10">
        <f ca="1">TODAY()-A221</f>
        <v>20</v>
      </c>
      <c r="C221" s="6">
        <v>1920361</v>
      </c>
      <c r="D221" s="13" t="s">
        <v>229</v>
      </c>
      <c r="E221" s="6" t="s">
        <v>257</v>
      </c>
      <c r="F221" s="6" t="s">
        <v>196</v>
      </c>
      <c r="G221" s="6">
        <v>1</v>
      </c>
      <c r="H221" s="5">
        <v>46119</v>
      </c>
      <c r="I221" s="5">
        <v>46121</v>
      </c>
      <c r="J221" s="6" t="s">
        <v>155</v>
      </c>
      <c r="K221" s="5">
        <v>46122</v>
      </c>
      <c r="L221" s="7" t="s">
        <v>60</v>
      </c>
      <c r="M221" s="7" t="s">
        <v>194</v>
      </c>
      <c r="N221" s="6"/>
    </row>
    <row r="222" spans="1:14" x14ac:dyDescent="0.3">
      <c r="A222" s="5">
        <v>46120</v>
      </c>
      <c r="B222" s="10">
        <f ca="1">TODAY()-A222</f>
        <v>20</v>
      </c>
      <c r="C222" s="6">
        <v>1920459</v>
      </c>
      <c r="D222" s="13" t="s">
        <v>230</v>
      </c>
      <c r="E222" s="6" t="s">
        <v>253</v>
      </c>
      <c r="F222" s="6" t="s">
        <v>196</v>
      </c>
      <c r="G222" s="6">
        <v>1</v>
      </c>
      <c r="H222" s="35">
        <v>46121</v>
      </c>
      <c r="I222" s="5">
        <v>46122</v>
      </c>
      <c r="J222" s="6" t="s">
        <v>164</v>
      </c>
      <c r="K222" s="5">
        <v>46127</v>
      </c>
      <c r="L222" s="7" t="s">
        <v>60</v>
      </c>
      <c r="M222" s="7" t="s">
        <v>194</v>
      </c>
      <c r="N222" s="6"/>
    </row>
    <row r="223" spans="1:14" x14ac:dyDescent="0.3">
      <c r="A223" s="5">
        <v>46120</v>
      </c>
      <c r="B223" s="10">
        <f ca="1">TODAY()-A223</f>
        <v>20</v>
      </c>
      <c r="C223" s="6">
        <v>1920520</v>
      </c>
      <c r="D223" s="13" t="s">
        <v>233</v>
      </c>
      <c r="E223" s="6" t="s">
        <v>255</v>
      </c>
      <c r="F223" s="6" t="s">
        <v>367</v>
      </c>
      <c r="G223" s="6">
        <v>4</v>
      </c>
      <c r="H223" s="35">
        <v>46121</v>
      </c>
      <c r="I223" s="5">
        <v>46122</v>
      </c>
      <c r="J223" s="6" t="s">
        <v>156</v>
      </c>
      <c r="K223" s="5">
        <v>46127</v>
      </c>
      <c r="L223" s="7" t="s">
        <v>60</v>
      </c>
      <c r="M223" s="7" t="s">
        <v>194</v>
      </c>
      <c r="N223" s="6"/>
    </row>
    <row r="224" spans="1:14" x14ac:dyDescent="0.3">
      <c r="A224" s="5">
        <v>46120</v>
      </c>
      <c r="B224" s="10">
        <f ca="1">TODAY()-A224</f>
        <v>20</v>
      </c>
      <c r="C224" s="6">
        <v>1920524</v>
      </c>
      <c r="D224" s="13" t="s">
        <v>234</v>
      </c>
      <c r="E224" s="6">
        <v>19999910682</v>
      </c>
      <c r="F224" s="6" t="s">
        <v>368</v>
      </c>
      <c r="G224" s="6">
        <v>1</v>
      </c>
      <c r="H224" s="5">
        <v>46119</v>
      </c>
      <c r="I224" s="5">
        <v>46121</v>
      </c>
      <c r="J224" s="6" t="s">
        <v>158</v>
      </c>
      <c r="K224" s="5">
        <v>46127</v>
      </c>
      <c r="L224" s="7" t="s">
        <v>60</v>
      </c>
      <c r="M224" s="7" t="s">
        <v>194</v>
      </c>
      <c r="N224" s="6"/>
    </row>
    <row r="225" spans="1:14" x14ac:dyDescent="0.3">
      <c r="A225" s="5">
        <v>46120</v>
      </c>
      <c r="B225" s="10">
        <f ca="1">TODAY()-A225</f>
        <v>20</v>
      </c>
      <c r="C225" s="6">
        <v>1920359</v>
      </c>
      <c r="D225" s="13" t="s">
        <v>227</v>
      </c>
      <c r="E225" s="6" t="s">
        <v>251</v>
      </c>
      <c r="F225" s="6" t="s">
        <v>196</v>
      </c>
      <c r="G225" s="6">
        <v>1</v>
      </c>
      <c r="H225" s="35">
        <v>46121</v>
      </c>
      <c r="I225" s="35">
        <v>46121</v>
      </c>
      <c r="J225" s="6" t="s">
        <v>156</v>
      </c>
      <c r="K225" s="5">
        <v>46128</v>
      </c>
      <c r="L225" s="7" t="s">
        <v>60</v>
      </c>
      <c r="M225" s="7" t="s">
        <v>194</v>
      </c>
      <c r="N225" s="6"/>
    </row>
    <row r="226" spans="1:14" x14ac:dyDescent="0.3">
      <c r="A226" s="5">
        <v>46120</v>
      </c>
      <c r="B226" s="10">
        <f ca="1">TODAY()-A226</f>
        <v>20</v>
      </c>
      <c r="C226" s="6">
        <v>1920092</v>
      </c>
      <c r="D226" s="13" t="s">
        <v>235</v>
      </c>
      <c r="E226" s="6" t="s">
        <v>256</v>
      </c>
      <c r="F226" s="6" t="s">
        <v>196</v>
      </c>
      <c r="G226" s="6">
        <v>2</v>
      </c>
      <c r="H226" s="35">
        <v>46121</v>
      </c>
      <c r="I226" s="5">
        <v>46122</v>
      </c>
      <c r="J226" s="6" t="s">
        <v>155</v>
      </c>
      <c r="K226" s="5">
        <v>46132</v>
      </c>
      <c r="L226" s="7" t="s">
        <v>60</v>
      </c>
      <c r="M226" s="7" t="s">
        <v>194</v>
      </c>
      <c r="N226" s="6"/>
    </row>
    <row r="227" spans="1:14" x14ac:dyDescent="0.3">
      <c r="A227" s="5">
        <v>46121</v>
      </c>
      <c r="B227" s="10">
        <f ca="1">TODAY()-A227</f>
        <v>19</v>
      </c>
      <c r="C227" s="6">
        <v>1920861</v>
      </c>
      <c r="D227" s="13" t="s">
        <v>272</v>
      </c>
      <c r="E227" s="6" t="s">
        <v>280</v>
      </c>
      <c r="F227" s="6" t="s">
        <v>196</v>
      </c>
      <c r="G227" s="6">
        <v>2</v>
      </c>
      <c r="H227" s="5">
        <v>46122</v>
      </c>
      <c r="I227" s="5">
        <v>46123</v>
      </c>
      <c r="J227" s="6" t="s">
        <v>165</v>
      </c>
      <c r="K227" s="5">
        <v>46123</v>
      </c>
      <c r="L227" s="7" t="s">
        <v>60</v>
      </c>
      <c r="M227" s="7" t="s">
        <v>194</v>
      </c>
      <c r="N227" s="6"/>
    </row>
    <row r="228" spans="1:14" x14ac:dyDescent="0.3">
      <c r="A228" s="5">
        <v>46121</v>
      </c>
      <c r="B228" s="10">
        <f ca="1">TODAY()-A228</f>
        <v>19</v>
      </c>
      <c r="C228" s="6">
        <v>1920951</v>
      </c>
      <c r="D228" s="13" t="s">
        <v>268</v>
      </c>
      <c r="E228" s="6" t="s">
        <v>278</v>
      </c>
      <c r="F228" s="6" t="s">
        <v>300</v>
      </c>
      <c r="G228" s="6">
        <v>1</v>
      </c>
      <c r="H228" s="5">
        <v>46122</v>
      </c>
      <c r="I228" s="5">
        <v>46126</v>
      </c>
      <c r="J228" s="6" t="s">
        <v>342</v>
      </c>
      <c r="K228" s="5">
        <v>46127</v>
      </c>
      <c r="L228" s="7" t="s">
        <v>60</v>
      </c>
      <c r="M228" s="7" t="s">
        <v>194</v>
      </c>
      <c r="N228" s="6"/>
    </row>
    <row r="229" spans="1:14" x14ac:dyDescent="0.3">
      <c r="A229" s="5">
        <v>46121</v>
      </c>
      <c r="B229" s="10">
        <f ca="1">TODAY()-A229</f>
        <v>19</v>
      </c>
      <c r="C229" s="6">
        <v>1920675</v>
      </c>
      <c r="D229" s="13" t="s">
        <v>263</v>
      </c>
      <c r="E229" s="6" t="s">
        <v>273</v>
      </c>
      <c r="F229" s="6" t="s">
        <v>369</v>
      </c>
      <c r="G229" s="6">
        <v>1</v>
      </c>
      <c r="H229" s="5">
        <v>46122</v>
      </c>
      <c r="I229" s="5">
        <v>46125</v>
      </c>
      <c r="J229" s="6" t="s">
        <v>313</v>
      </c>
      <c r="K229" s="5">
        <v>46127</v>
      </c>
      <c r="L229" s="7" t="s">
        <v>60</v>
      </c>
      <c r="M229" s="7" t="s">
        <v>194</v>
      </c>
      <c r="N229" s="6"/>
    </row>
    <row r="230" spans="1:14" x14ac:dyDescent="0.3">
      <c r="A230" s="5">
        <v>46121</v>
      </c>
      <c r="B230" s="10">
        <f ca="1">TODAY()-A230</f>
        <v>19</v>
      </c>
      <c r="C230" s="6">
        <v>1920872</v>
      </c>
      <c r="D230" s="13" t="s">
        <v>267</v>
      </c>
      <c r="E230" s="6" t="s">
        <v>277</v>
      </c>
      <c r="F230" s="6" t="s">
        <v>196</v>
      </c>
      <c r="G230" s="6">
        <v>1</v>
      </c>
      <c r="H230" s="5">
        <v>46122</v>
      </c>
      <c r="I230" s="5">
        <v>46125</v>
      </c>
      <c r="J230" s="6" t="s">
        <v>198</v>
      </c>
      <c r="K230" s="5">
        <v>46127</v>
      </c>
      <c r="L230" s="7" t="s">
        <v>60</v>
      </c>
      <c r="M230" s="7" t="s">
        <v>194</v>
      </c>
      <c r="N230" s="6"/>
    </row>
    <row r="231" spans="1:14" x14ac:dyDescent="0.3">
      <c r="A231" s="5">
        <v>46121</v>
      </c>
      <c r="B231" s="10">
        <f ca="1">TODAY()-A231</f>
        <v>19</v>
      </c>
      <c r="C231" s="6">
        <v>1920681</v>
      </c>
      <c r="D231" s="13" t="s">
        <v>265</v>
      </c>
      <c r="E231" s="6" t="s">
        <v>275</v>
      </c>
      <c r="F231" s="6" t="s">
        <v>187</v>
      </c>
      <c r="G231" s="6">
        <v>1</v>
      </c>
      <c r="H231" s="5">
        <v>46126</v>
      </c>
      <c r="I231" s="5">
        <v>46127</v>
      </c>
      <c r="J231" s="6" t="s">
        <v>155</v>
      </c>
      <c r="K231" s="5">
        <v>46128</v>
      </c>
      <c r="L231" s="7" t="s">
        <v>60</v>
      </c>
      <c r="M231" s="7" t="s">
        <v>194</v>
      </c>
      <c r="N231" s="6" t="s">
        <v>341</v>
      </c>
    </row>
    <row r="232" spans="1:14" x14ac:dyDescent="0.3">
      <c r="A232" s="5">
        <v>46122</v>
      </c>
      <c r="B232" s="10">
        <f ca="1">TODAY()-A232</f>
        <v>18</v>
      </c>
      <c r="C232" s="6">
        <v>1921267</v>
      </c>
      <c r="D232" s="13" t="s">
        <v>286</v>
      </c>
      <c r="E232" s="6" t="s">
        <v>293</v>
      </c>
      <c r="F232" s="6" t="s">
        <v>196</v>
      </c>
      <c r="G232" s="6">
        <v>1</v>
      </c>
      <c r="H232" s="5">
        <v>46125</v>
      </c>
      <c r="I232" s="5">
        <v>46125</v>
      </c>
      <c r="J232" s="6" t="s">
        <v>313</v>
      </c>
      <c r="K232" s="5">
        <v>46127</v>
      </c>
      <c r="L232" s="7" t="s">
        <v>60</v>
      </c>
      <c r="M232" s="7" t="s">
        <v>194</v>
      </c>
      <c r="N232" s="6"/>
    </row>
    <row r="233" spans="1:14" x14ac:dyDescent="0.3">
      <c r="A233" s="5">
        <v>46122</v>
      </c>
      <c r="B233" s="10">
        <f ca="1">TODAY()-A233</f>
        <v>18</v>
      </c>
      <c r="C233" s="6">
        <v>1921417</v>
      </c>
      <c r="D233" s="13" t="s">
        <v>282</v>
      </c>
      <c r="E233" s="6" t="s">
        <v>291</v>
      </c>
      <c r="F233" s="6" t="s">
        <v>196</v>
      </c>
      <c r="G233" s="6">
        <v>1</v>
      </c>
      <c r="H233" s="5">
        <v>46122</v>
      </c>
      <c r="I233" s="5">
        <v>46122</v>
      </c>
      <c r="J233" s="6" t="s">
        <v>165</v>
      </c>
      <c r="K233" s="5">
        <v>46123</v>
      </c>
      <c r="L233" s="7" t="s">
        <v>60</v>
      </c>
      <c r="M233" s="7" t="s">
        <v>194</v>
      </c>
      <c r="N233" s="6"/>
    </row>
    <row r="234" spans="1:14" x14ac:dyDescent="0.3">
      <c r="A234" s="5">
        <v>46122</v>
      </c>
      <c r="B234" s="10">
        <f ca="1">TODAY()-A234</f>
        <v>18</v>
      </c>
      <c r="C234" s="6">
        <v>1921273</v>
      </c>
      <c r="D234" s="13" t="s">
        <v>285</v>
      </c>
      <c r="E234" s="6" t="s">
        <v>292</v>
      </c>
      <c r="F234" s="6" t="s">
        <v>185</v>
      </c>
      <c r="G234" s="6">
        <v>1</v>
      </c>
      <c r="H234" s="5">
        <v>46122</v>
      </c>
      <c r="I234" s="5">
        <v>46126</v>
      </c>
      <c r="J234" s="6" t="s">
        <v>243</v>
      </c>
      <c r="K234" s="5">
        <v>46128</v>
      </c>
      <c r="L234" s="7" t="s">
        <v>60</v>
      </c>
      <c r="M234" s="7" t="s">
        <v>194</v>
      </c>
      <c r="N234" s="6"/>
    </row>
    <row r="235" spans="1:14" x14ac:dyDescent="0.3">
      <c r="A235" s="5">
        <v>46122</v>
      </c>
      <c r="B235" s="10">
        <f ca="1">TODAY()-A235</f>
        <v>18</v>
      </c>
      <c r="C235" s="6">
        <v>1921416</v>
      </c>
      <c r="D235" s="13" t="s">
        <v>289</v>
      </c>
      <c r="E235" s="6" t="s">
        <v>296</v>
      </c>
      <c r="F235" s="6" t="s">
        <v>196</v>
      </c>
      <c r="G235" s="6">
        <v>1</v>
      </c>
      <c r="H235" s="5">
        <v>46125</v>
      </c>
      <c r="I235" s="5">
        <v>46126</v>
      </c>
      <c r="J235" s="6" t="s">
        <v>317</v>
      </c>
      <c r="K235" s="5">
        <v>46128</v>
      </c>
      <c r="L235" s="7" t="s">
        <v>60</v>
      </c>
      <c r="M235" s="7" t="s">
        <v>194</v>
      </c>
      <c r="N235" s="6"/>
    </row>
    <row r="236" spans="1:14" x14ac:dyDescent="0.3">
      <c r="A236" s="5">
        <v>46122</v>
      </c>
      <c r="B236" s="10">
        <f ca="1">TODAY()-A236</f>
        <v>18</v>
      </c>
      <c r="C236" s="6">
        <v>1921297</v>
      </c>
      <c r="D236" s="13" t="s">
        <v>283</v>
      </c>
      <c r="E236" s="6">
        <v>11987045299</v>
      </c>
      <c r="F236" s="6" t="s">
        <v>196</v>
      </c>
      <c r="G236" s="6">
        <v>1</v>
      </c>
      <c r="H236" s="5">
        <v>46126</v>
      </c>
      <c r="I236" s="5">
        <v>46127</v>
      </c>
      <c r="J236" s="6" t="s">
        <v>166</v>
      </c>
      <c r="K236" s="5">
        <v>46129</v>
      </c>
      <c r="L236" s="7" t="s">
        <v>60</v>
      </c>
      <c r="M236" s="7" t="s">
        <v>194</v>
      </c>
      <c r="N236" s="6"/>
    </row>
    <row r="237" spans="1:14" x14ac:dyDescent="0.3">
      <c r="A237" s="5">
        <v>46122</v>
      </c>
      <c r="B237" s="10">
        <f ca="1">TODAY()-A237</f>
        <v>18</v>
      </c>
      <c r="C237" s="6">
        <v>1921294</v>
      </c>
      <c r="D237" s="13" t="s">
        <v>284</v>
      </c>
      <c r="E237" s="6">
        <v>54991360236</v>
      </c>
      <c r="F237" s="6" t="s">
        <v>187</v>
      </c>
      <c r="G237" s="6">
        <v>1</v>
      </c>
      <c r="H237" s="5">
        <v>46122</v>
      </c>
      <c r="I237" s="5">
        <v>46122</v>
      </c>
      <c r="J237" s="6" t="s">
        <v>157</v>
      </c>
      <c r="K237" s="5">
        <v>46128</v>
      </c>
      <c r="L237" s="7" t="s">
        <v>60</v>
      </c>
      <c r="M237" s="7" t="s">
        <v>194</v>
      </c>
      <c r="N237" s="6"/>
    </row>
    <row r="238" spans="1:14" x14ac:dyDescent="0.3">
      <c r="A238" s="5">
        <v>46122</v>
      </c>
      <c r="B238" s="10">
        <f ca="1">TODAY()-A238</f>
        <v>18</v>
      </c>
      <c r="C238" s="6">
        <v>1921296</v>
      </c>
      <c r="D238" s="13" t="s">
        <v>290</v>
      </c>
      <c r="E238" s="6" t="s">
        <v>297</v>
      </c>
      <c r="F238" s="6" t="s">
        <v>428</v>
      </c>
      <c r="G238" s="6">
        <v>2</v>
      </c>
      <c r="H238" s="5">
        <v>46126</v>
      </c>
      <c r="I238" s="5">
        <v>46127</v>
      </c>
      <c r="J238" s="6" t="s">
        <v>158</v>
      </c>
      <c r="K238" s="5">
        <v>46129</v>
      </c>
      <c r="L238" s="7" t="s">
        <v>60</v>
      </c>
      <c r="M238" s="7" t="s">
        <v>194</v>
      </c>
      <c r="N238" s="6"/>
    </row>
    <row r="239" spans="1:14" x14ac:dyDescent="0.3">
      <c r="A239" s="5">
        <v>46122</v>
      </c>
      <c r="B239" s="10">
        <f ca="1">TODAY()-A239</f>
        <v>18</v>
      </c>
      <c r="C239" s="6">
        <v>1921190</v>
      </c>
      <c r="D239" s="13" t="s">
        <v>288</v>
      </c>
      <c r="E239" s="6" t="s">
        <v>295</v>
      </c>
      <c r="F239" s="6" t="s">
        <v>185</v>
      </c>
      <c r="G239" s="6">
        <v>1</v>
      </c>
      <c r="H239" s="5">
        <v>46122</v>
      </c>
      <c r="I239" s="5">
        <v>46132</v>
      </c>
      <c r="J239" s="6" t="s">
        <v>148</v>
      </c>
      <c r="K239" s="5">
        <v>46132</v>
      </c>
      <c r="L239" s="7" t="s">
        <v>60</v>
      </c>
      <c r="M239" s="7" t="s">
        <v>194</v>
      </c>
      <c r="N239" s="6"/>
    </row>
    <row r="240" spans="1:14" x14ac:dyDescent="0.3">
      <c r="A240" s="5">
        <v>46125</v>
      </c>
      <c r="B240" s="10">
        <f ca="1">TODAY()-A240</f>
        <v>15</v>
      </c>
      <c r="C240" s="6">
        <v>1921728</v>
      </c>
      <c r="D240" s="13" t="s">
        <v>325</v>
      </c>
      <c r="E240" s="6" t="s">
        <v>333</v>
      </c>
      <c r="F240" s="6" t="s">
        <v>371</v>
      </c>
      <c r="G240" s="6">
        <v>1</v>
      </c>
      <c r="H240" s="5">
        <v>46129</v>
      </c>
      <c r="I240" s="5">
        <v>46134</v>
      </c>
      <c r="J240" s="6" t="s">
        <v>317</v>
      </c>
      <c r="K240" s="5">
        <v>46136</v>
      </c>
      <c r="L240" s="7" t="s">
        <v>60</v>
      </c>
      <c r="M240" s="7" t="s">
        <v>194</v>
      </c>
      <c r="N240" s="6" t="s">
        <v>344</v>
      </c>
    </row>
    <row r="241" spans="1:14" x14ac:dyDescent="0.3">
      <c r="A241" s="5">
        <v>46125</v>
      </c>
      <c r="B241" s="10">
        <f ca="1">TODAY()-A241</f>
        <v>15</v>
      </c>
      <c r="C241" s="6">
        <v>1921991</v>
      </c>
      <c r="D241" s="13" t="s">
        <v>320</v>
      </c>
      <c r="E241" s="6" t="s">
        <v>328</v>
      </c>
      <c r="F241" s="6" t="s">
        <v>371</v>
      </c>
      <c r="G241" s="6">
        <v>1</v>
      </c>
      <c r="H241" s="5">
        <v>46125</v>
      </c>
      <c r="I241" s="5">
        <v>46126</v>
      </c>
      <c r="J241" s="6" t="s">
        <v>244</v>
      </c>
      <c r="K241" s="5">
        <v>46127</v>
      </c>
      <c r="L241" s="7" t="s">
        <v>60</v>
      </c>
      <c r="M241" s="7" t="s">
        <v>194</v>
      </c>
      <c r="N241" s="6"/>
    </row>
    <row r="242" spans="1:14" x14ac:dyDescent="0.3">
      <c r="A242" s="5">
        <v>46125</v>
      </c>
      <c r="B242" s="10">
        <f ca="1">TODAY()-A242</f>
        <v>15</v>
      </c>
      <c r="C242" s="6">
        <v>1921735</v>
      </c>
      <c r="D242" s="13" t="s">
        <v>323</v>
      </c>
      <c r="E242" s="6" t="s">
        <v>331</v>
      </c>
      <c r="F242" s="6" t="s">
        <v>187</v>
      </c>
      <c r="G242" s="6">
        <v>1</v>
      </c>
      <c r="H242" s="5">
        <v>46125</v>
      </c>
      <c r="I242" s="5">
        <v>46126</v>
      </c>
      <c r="J242" s="6" t="s">
        <v>162</v>
      </c>
      <c r="K242" s="5">
        <v>46127</v>
      </c>
      <c r="L242" s="7" t="s">
        <v>60</v>
      </c>
      <c r="M242" s="7" t="s">
        <v>194</v>
      </c>
      <c r="N242" s="6"/>
    </row>
    <row r="243" spans="1:14" x14ac:dyDescent="0.3">
      <c r="A243" s="5">
        <v>46125</v>
      </c>
      <c r="B243" s="10">
        <f ca="1">TODAY()-A243</f>
        <v>15</v>
      </c>
      <c r="C243" s="6">
        <v>1921945</v>
      </c>
      <c r="D243" s="13" t="s">
        <v>324</v>
      </c>
      <c r="E243" s="6" t="s">
        <v>332</v>
      </c>
      <c r="F243" s="6" t="s">
        <v>196</v>
      </c>
      <c r="G243" s="6">
        <v>1</v>
      </c>
      <c r="H243" s="5">
        <v>46125</v>
      </c>
      <c r="I243" s="5">
        <v>46125</v>
      </c>
      <c r="J243" s="6" t="s">
        <v>243</v>
      </c>
      <c r="K243" s="5">
        <v>46127</v>
      </c>
      <c r="L243" s="7" t="s">
        <v>60</v>
      </c>
      <c r="M243" s="7" t="s">
        <v>194</v>
      </c>
      <c r="N243" s="6"/>
    </row>
    <row r="244" spans="1:14" x14ac:dyDescent="0.3">
      <c r="A244" s="5">
        <v>46125</v>
      </c>
      <c r="B244" s="10">
        <f ca="1">TODAY()-A244</f>
        <v>15</v>
      </c>
      <c r="C244" s="6">
        <v>1921824</v>
      </c>
      <c r="D244" s="13" t="s">
        <v>322</v>
      </c>
      <c r="E244" s="6" t="s">
        <v>330</v>
      </c>
      <c r="F244" s="6" t="s">
        <v>196</v>
      </c>
      <c r="G244" s="6">
        <v>1</v>
      </c>
      <c r="H244" s="5">
        <v>46125</v>
      </c>
      <c r="I244" s="5">
        <v>46126</v>
      </c>
      <c r="J244" s="6" t="s">
        <v>343</v>
      </c>
      <c r="K244" s="5">
        <v>46128</v>
      </c>
      <c r="L244" s="7" t="s">
        <v>60</v>
      </c>
      <c r="M244" s="7" t="s">
        <v>194</v>
      </c>
      <c r="N244" s="6"/>
    </row>
    <row r="245" spans="1:14" x14ac:dyDescent="0.3">
      <c r="A245" s="5">
        <v>46125</v>
      </c>
      <c r="B245" s="10">
        <f ca="1">TODAY()-A245</f>
        <v>15</v>
      </c>
      <c r="C245" s="6">
        <v>1921579</v>
      </c>
      <c r="D245" s="13" t="s">
        <v>319</v>
      </c>
      <c r="E245" s="6" t="s">
        <v>327</v>
      </c>
      <c r="F245" s="6" t="s">
        <v>185</v>
      </c>
      <c r="G245" s="6">
        <v>1</v>
      </c>
      <c r="H245" s="5">
        <v>46126</v>
      </c>
      <c r="I245" s="5">
        <v>46127</v>
      </c>
      <c r="J245" s="6" t="s">
        <v>147</v>
      </c>
      <c r="K245" s="5">
        <v>46127</v>
      </c>
      <c r="L245" s="7" t="s">
        <v>60</v>
      </c>
      <c r="M245" s="7" t="s">
        <v>194</v>
      </c>
      <c r="N245" s="6"/>
    </row>
    <row r="246" spans="1:14" x14ac:dyDescent="0.3">
      <c r="A246" s="5">
        <v>46125</v>
      </c>
      <c r="B246" s="10">
        <f ca="1">TODAY()-A246</f>
        <v>15</v>
      </c>
      <c r="C246" s="6">
        <v>1921435</v>
      </c>
      <c r="D246" s="13" t="s">
        <v>326</v>
      </c>
      <c r="E246" s="6" t="s">
        <v>335</v>
      </c>
      <c r="F246" s="6" t="s">
        <v>196</v>
      </c>
      <c r="G246" s="6">
        <v>1</v>
      </c>
      <c r="H246" s="5">
        <v>46125</v>
      </c>
      <c r="I246" s="5">
        <v>46128</v>
      </c>
      <c r="J246" s="6" t="s">
        <v>160</v>
      </c>
      <c r="K246" s="5">
        <v>46129</v>
      </c>
      <c r="L246" s="7" t="s">
        <v>60</v>
      </c>
      <c r="M246" s="7" t="s">
        <v>194</v>
      </c>
      <c r="N246" s="6"/>
    </row>
    <row r="247" spans="1:14" x14ac:dyDescent="0.3">
      <c r="A247" s="5">
        <v>46125</v>
      </c>
      <c r="B247" s="10">
        <f ca="1">TODAY()-A247</f>
        <v>15</v>
      </c>
      <c r="C247" s="6">
        <v>1921977</v>
      </c>
      <c r="D247" s="13" t="s">
        <v>321</v>
      </c>
      <c r="E247" s="6" t="s">
        <v>329</v>
      </c>
      <c r="F247" s="6" t="s">
        <v>185</v>
      </c>
      <c r="G247" s="6">
        <v>1</v>
      </c>
      <c r="H247" s="5">
        <v>46127</v>
      </c>
      <c r="I247" s="5">
        <v>46128</v>
      </c>
      <c r="J247" s="6" t="s">
        <v>166</v>
      </c>
      <c r="K247" s="5">
        <v>46129</v>
      </c>
      <c r="L247" s="7" t="s">
        <v>60</v>
      </c>
      <c r="M247" s="7" t="s">
        <v>194</v>
      </c>
      <c r="N247" s="6"/>
    </row>
    <row r="248" spans="1:14" x14ac:dyDescent="0.3">
      <c r="A248" s="5">
        <v>46125</v>
      </c>
      <c r="B248" s="10">
        <f ca="1">TODAY()-A248</f>
        <v>15</v>
      </c>
      <c r="C248" s="6">
        <v>1921826</v>
      </c>
      <c r="D248" s="13" t="s">
        <v>345</v>
      </c>
      <c r="E248" s="6" t="s">
        <v>334</v>
      </c>
      <c r="F248" s="6" t="s">
        <v>196</v>
      </c>
      <c r="G248" s="6">
        <v>1</v>
      </c>
      <c r="H248" s="5">
        <v>46125</v>
      </c>
      <c r="I248" s="5">
        <v>46132</v>
      </c>
      <c r="J248" s="6" t="s">
        <v>160</v>
      </c>
      <c r="K248" s="5">
        <v>46132</v>
      </c>
      <c r="L248" s="7" t="s">
        <v>60</v>
      </c>
      <c r="M248" s="7" t="s">
        <v>194</v>
      </c>
      <c r="N248" s="6"/>
    </row>
    <row r="249" spans="1:14" x14ac:dyDescent="0.3">
      <c r="A249" s="5">
        <v>46125</v>
      </c>
      <c r="B249" s="10">
        <f ca="1">TODAY()-A249</f>
        <v>15</v>
      </c>
      <c r="C249" s="6">
        <v>1921590</v>
      </c>
      <c r="D249" s="13" t="s">
        <v>318</v>
      </c>
      <c r="E249" s="6">
        <v>16997240856</v>
      </c>
      <c r="F249" s="6" t="s">
        <v>185</v>
      </c>
      <c r="G249" s="6">
        <v>1</v>
      </c>
      <c r="H249" s="5">
        <v>46127</v>
      </c>
      <c r="I249" s="5">
        <v>46129</v>
      </c>
      <c r="J249" s="6" t="s">
        <v>393</v>
      </c>
      <c r="K249" s="5">
        <v>46129</v>
      </c>
      <c r="L249" s="7" t="s">
        <v>60</v>
      </c>
      <c r="M249" s="7" t="s">
        <v>194</v>
      </c>
      <c r="N249" s="6"/>
    </row>
    <row r="250" spans="1:14" x14ac:dyDescent="0.3">
      <c r="A250" s="5">
        <v>46126</v>
      </c>
      <c r="B250" s="10">
        <f ca="1">TODAY()-A250</f>
        <v>14</v>
      </c>
      <c r="C250" s="6">
        <v>1922129</v>
      </c>
      <c r="D250" s="13" t="s">
        <v>350</v>
      </c>
      <c r="E250" s="6" t="s">
        <v>361</v>
      </c>
      <c r="F250" s="6" t="s">
        <v>196</v>
      </c>
      <c r="G250" s="6">
        <v>1</v>
      </c>
      <c r="H250" s="5">
        <v>46129</v>
      </c>
      <c r="I250" s="5">
        <v>46132</v>
      </c>
      <c r="J250" s="6" t="s">
        <v>243</v>
      </c>
      <c r="K250" s="5">
        <v>46135</v>
      </c>
      <c r="L250" s="7" t="s">
        <v>60</v>
      </c>
      <c r="M250" s="7" t="s">
        <v>194</v>
      </c>
      <c r="N250" s="6" t="s">
        <v>372</v>
      </c>
    </row>
    <row r="251" spans="1:14" x14ac:dyDescent="0.3">
      <c r="A251" s="5">
        <v>46126</v>
      </c>
      <c r="B251" s="10">
        <f ca="1">TODAY()-A251</f>
        <v>14</v>
      </c>
      <c r="C251" s="6">
        <v>1922203</v>
      </c>
      <c r="D251" s="13" t="s">
        <v>348</v>
      </c>
      <c r="E251" s="6" t="s">
        <v>358</v>
      </c>
      <c r="F251" s="6" t="s">
        <v>491</v>
      </c>
      <c r="G251" s="6">
        <v>2</v>
      </c>
      <c r="H251" s="5">
        <v>46127</v>
      </c>
      <c r="I251" s="5">
        <v>46129</v>
      </c>
      <c r="J251" s="6" t="s">
        <v>243</v>
      </c>
      <c r="K251" s="5">
        <v>46135</v>
      </c>
      <c r="L251" s="7" t="s">
        <v>60</v>
      </c>
      <c r="M251" s="7" t="s">
        <v>194</v>
      </c>
      <c r="N251" s="6"/>
    </row>
    <row r="252" spans="1:14" x14ac:dyDescent="0.3">
      <c r="A252" s="5">
        <v>46126</v>
      </c>
      <c r="B252" s="10">
        <f ca="1">TODAY()-A252</f>
        <v>14</v>
      </c>
      <c r="C252" s="6">
        <v>1922053</v>
      </c>
      <c r="D252" s="13" t="s">
        <v>351</v>
      </c>
      <c r="E252" s="6" t="s">
        <v>362</v>
      </c>
      <c r="F252" s="6" t="s">
        <v>405</v>
      </c>
      <c r="G252" s="6">
        <v>2</v>
      </c>
      <c r="H252" s="5">
        <v>46126</v>
      </c>
      <c r="I252" s="5">
        <v>46126</v>
      </c>
      <c r="J252" s="6" t="s">
        <v>149</v>
      </c>
      <c r="K252" s="5">
        <v>46128</v>
      </c>
      <c r="L252" s="7" t="s">
        <v>60</v>
      </c>
      <c r="M252" s="7" t="s">
        <v>194</v>
      </c>
      <c r="N252" s="6"/>
    </row>
    <row r="253" spans="1:14" x14ac:dyDescent="0.3">
      <c r="A253" s="5">
        <v>46126</v>
      </c>
      <c r="B253" s="10">
        <f ca="1">TODAY()-A253</f>
        <v>14</v>
      </c>
      <c r="C253" s="6">
        <v>1922205</v>
      </c>
      <c r="D253" s="13" t="s">
        <v>347</v>
      </c>
      <c r="E253" s="6" t="s">
        <v>357</v>
      </c>
      <c r="F253" s="6" t="s">
        <v>426</v>
      </c>
      <c r="G253" s="6">
        <v>3</v>
      </c>
      <c r="H253" s="5">
        <v>46127</v>
      </c>
      <c r="I253" s="5">
        <v>46128</v>
      </c>
      <c r="J253" s="6" t="s">
        <v>152</v>
      </c>
      <c r="K253" s="5">
        <v>46129</v>
      </c>
      <c r="L253" s="7" t="s">
        <v>60</v>
      </c>
      <c r="M253" s="7" t="s">
        <v>194</v>
      </c>
      <c r="N253" s="6"/>
    </row>
    <row r="254" spans="1:14" x14ac:dyDescent="0.3">
      <c r="A254" s="5">
        <v>46126</v>
      </c>
      <c r="B254" s="10">
        <f ca="1">TODAY()-A254</f>
        <v>14</v>
      </c>
      <c r="C254" s="6">
        <v>1922137</v>
      </c>
      <c r="D254" s="13" t="s">
        <v>355</v>
      </c>
      <c r="E254" s="6" t="s">
        <v>360</v>
      </c>
      <c r="F254" s="6" t="s">
        <v>185</v>
      </c>
      <c r="G254" s="6">
        <v>1</v>
      </c>
      <c r="H254" s="5">
        <v>46126</v>
      </c>
      <c r="I254" s="5">
        <v>46127</v>
      </c>
      <c r="J254" s="6" t="s">
        <v>198</v>
      </c>
      <c r="K254" s="5">
        <v>46127</v>
      </c>
      <c r="L254" s="7" t="s">
        <v>60</v>
      </c>
      <c r="M254" s="7" t="s">
        <v>194</v>
      </c>
      <c r="N254" s="6"/>
    </row>
    <row r="255" spans="1:14" x14ac:dyDescent="0.3">
      <c r="A255" s="5">
        <v>46126</v>
      </c>
      <c r="B255" s="10">
        <f ca="1">TODAY()-A255</f>
        <v>14</v>
      </c>
      <c r="C255" s="6">
        <v>1922459</v>
      </c>
      <c r="D255" s="13" t="s">
        <v>353</v>
      </c>
      <c r="E255" s="6" t="s">
        <v>364</v>
      </c>
      <c r="F255" s="6" t="s">
        <v>196</v>
      </c>
      <c r="G255" s="6">
        <v>1</v>
      </c>
      <c r="H255" s="5">
        <v>46127</v>
      </c>
      <c r="I255" s="5">
        <v>46129</v>
      </c>
      <c r="J255" s="6" t="s">
        <v>392</v>
      </c>
      <c r="K255" s="5">
        <v>46129</v>
      </c>
      <c r="L255" s="7" t="s">
        <v>60</v>
      </c>
      <c r="M255" s="7" t="s">
        <v>194</v>
      </c>
      <c r="N255" s="6"/>
    </row>
    <row r="256" spans="1:14" x14ac:dyDescent="0.3">
      <c r="A256" s="5">
        <v>46126</v>
      </c>
      <c r="B256" s="10">
        <f ca="1">TODAY()-A256</f>
        <v>14</v>
      </c>
      <c r="C256" s="6">
        <v>1922211</v>
      </c>
      <c r="D256" s="13" t="s">
        <v>346</v>
      </c>
      <c r="E256" s="6" t="s">
        <v>356</v>
      </c>
      <c r="F256" s="6" t="s">
        <v>196</v>
      </c>
      <c r="G256" s="6">
        <v>1</v>
      </c>
      <c r="H256" s="5">
        <v>46128</v>
      </c>
      <c r="I256" s="5">
        <v>46130</v>
      </c>
      <c r="J256" s="6" t="s">
        <v>152</v>
      </c>
      <c r="K256" s="5">
        <v>46134</v>
      </c>
      <c r="L256" s="7" t="s">
        <v>60</v>
      </c>
      <c r="M256" s="7" t="s">
        <v>194</v>
      </c>
      <c r="N256" s="6"/>
    </row>
    <row r="257" spans="1:14" x14ac:dyDescent="0.3">
      <c r="A257" s="5">
        <v>46127</v>
      </c>
      <c r="B257" s="10">
        <f ca="1">TODAY()-A257</f>
        <v>13</v>
      </c>
      <c r="C257" s="6">
        <v>1922569</v>
      </c>
      <c r="D257" s="13" t="s">
        <v>373</v>
      </c>
      <c r="E257" s="6" t="s">
        <v>374</v>
      </c>
      <c r="F257" s="6" t="s">
        <v>196</v>
      </c>
      <c r="G257" s="6">
        <v>1</v>
      </c>
      <c r="H257" s="5">
        <v>46129</v>
      </c>
      <c r="I257" s="5">
        <v>46132</v>
      </c>
      <c r="J257" s="6" t="s">
        <v>158</v>
      </c>
      <c r="K257" s="5">
        <v>46136</v>
      </c>
      <c r="L257" s="7" t="s">
        <v>60</v>
      </c>
      <c r="M257" s="7" t="s">
        <v>194</v>
      </c>
      <c r="N257" s="6"/>
    </row>
    <row r="258" spans="1:14" x14ac:dyDescent="0.3">
      <c r="A258" s="5">
        <v>46127</v>
      </c>
      <c r="B258" s="10">
        <f ca="1">TODAY()-A258</f>
        <v>13</v>
      </c>
      <c r="C258" s="6">
        <v>1922945</v>
      </c>
      <c r="D258" s="13" t="s">
        <v>388</v>
      </c>
      <c r="E258" s="6" t="s">
        <v>389</v>
      </c>
      <c r="F258" s="6" t="s">
        <v>196</v>
      </c>
      <c r="G258" s="6">
        <v>1</v>
      </c>
      <c r="H258" s="5">
        <v>46128</v>
      </c>
      <c r="I258" s="5">
        <v>46128</v>
      </c>
      <c r="J258" s="6" t="s">
        <v>165</v>
      </c>
      <c r="K258" s="5">
        <v>46129</v>
      </c>
      <c r="L258" s="7" t="s">
        <v>60</v>
      </c>
      <c r="M258" s="7" t="s">
        <v>194</v>
      </c>
      <c r="N258" s="6" t="s">
        <v>431</v>
      </c>
    </row>
    <row r="259" spans="1:14" x14ac:dyDescent="0.3">
      <c r="A259" s="5">
        <v>46127</v>
      </c>
      <c r="B259" s="10">
        <f ca="1">TODAY()-A259</f>
        <v>13</v>
      </c>
      <c r="C259" s="6">
        <v>1922663</v>
      </c>
      <c r="D259" s="13" t="s">
        <v>379</v>
      </c>
      <c r="E259" s="6" t="s">
        <v>380</v>
      </c>
      <c r="F259" s="6" t="s">
        <v>187</v>
      </c>
      <c r="G259" s="6">
        <v>1</v>
      </c>
      <c r="H259" s="5">
        <v>46128</v>
      </c>
      <c r="I259" s="5">
        <v>46129</v>
      </c>
      <c r="J259" s="6" t="s">
        <v>148</v>
      </c>
      <c r="K259" s="5">
        <v>46129</v>
      </c>
      <c r="L259" s="7" t="s">
        <v>60</v>
      </c>
      <c r="M259" s="7" t="s">
        <v>194</v>
      </c>
      <c r="N259" s="6"/>
    </row>
    <row r="260" spans="1:14" x14ac:dyDescent="0.3">
      <c r="A260" s="5">
        <v>46127</v>
      </c>
      <c r="B260" s="10">
        <f ca="1">TODAY()-A260</f>
        <v>13</v>
      </c>
      <c r="C260" s="6">
        <v>1922949</v>
      </c>
      <c r="D260" s="13" t="s">
        <v>390</v>
      </c>
      <c r="E260" s="6" t="s">
        <v>391</v>
      </c>
      <c r="F260" s="6" t="s">
        <v>427</v>
      </c>
      <c r="G260" s="6">
        <v>1</v>
      </c>
      <c r="H260" s="5">
        <v>46128</v>
      </c>
      <c r="I260" s="5">
        <v>46129</v>
      </c>
      <c r="J260" s="6" t="s">
        <v>317</v>
      </c>
      <c r="K260" s="5">
        <v>46130</v>
      </c>
      <c r="L260" s="7" t="s">
        <v>60</v>
      </c>
      <c r="M260" s="7" t="s">
        <v>194</v>
      </c>
      <c r="N260" s="6"/>
    </row>
    <row r="261" spans="1:14" x14ac:dyDescent="0.3">
      <c r="A261" s="5">
        <v>46127</v>
      </c>
      <c r="B261" s="10">
        <f ca="1">TODAY()-A261</f>
        <v>13</v>
      </c>
      <c r="C261" s="6">
        <v>1922830</v>
      </c>
      <c r="D261" s="13" t="s">
        <v>386</v>
      </c>
      <c r="E261" s="6" t="s">
        <v>387</v>
      </c>
      <c r="F261" s="6" t="s">
        <v>196</v>
      </c>
      <c r="G261" s="6">
        <v>1</v>
      </c>
      <c r="H261" s="5">
        <v>46128</v>
      </c>
      <c r="I261" s="5">
        <v>46129</v>
      </c>
      <c r="J261" s="6" t="s">
        <v>147</v>
      </c>
      <c r="K261" s="5">
        <v>46134</v>
      </c>
      <c r="L261" s="7" t="s">
        <v>60</v>
      </c>
      <c r="M261" s="7" t="s">
        <v>194</v>
      </c>
      <c r="N261" s="6"/>
    </row>
    <row r="262" spans="1:14" x14ac:dyDescent="0.3">
      <c r="A262" s="5">
        <v>46128</v>
      </c>
      <c r="B262" s="10">
        <f ca="1">TODAY()-A262</f>
        <v>12</v>
      </c>
      <c r="C262" s="6" t="s">
        <v>394</v>
      </c>
      <c r="D262" s="13" t="s">
        <v>395</v>
      </c>
      <c r="E262" s="6">
        <v>64993087151</v>
      </c>
      <c r="F262" s="6" t="s">
        <v>196</v>
      </c>
      <c r="G262" s="6">
        <v>1</v>
      </c>
      <c r="H262" s="5">
        <v>46128</v>
      </c>
      <c r="I262" s="5">
        <v>46135</v>
      </c>
      <c r="J262" s="6" t="s">
        <v>158</v>
      </c>
      <c r="K262" s="5">
        <v>46136</v>
      </c>
      <c r="L262" s="7" t="s">
        <v>60</v>
      </c>
      <c r="M262" s="7" t="s">
        <v>194</v>
      </c>
      <c r="N262" s="6"/>
    </row>
    <row r="263" spans="1:14" x14ac:dyDescent="0.3">
      <c r="A263" s="5">
        <v>46128</v>
      </c>
      <c r="B263" s="10">
        <f ca="1">TODAY()-A263</f>
        <v>12</v>
      </c>
      <c r="C263" s="6">
        <v>1923159</v>
      </c>
      <c r="D263" s="13" t="s">
        <v>400</v>
      </c>
      <c r="E263" s="6">
        <v>51995841282</v>
      </c>
      <c r="F263" s="6" t="s">
        <v>196</v>
      </c>
      <c r="G263" s="6">
        <v>1</v>
      </c>
      <c r="H263" s="5">
        <v>46128</v>
      </c>
      <c r="I263" s="5">
        <v>46132</v>
      </c>
      <c r="J263" s="6" t="s">
        <v>153</v>
      </c>
      <c r="K263" s="5">
        <v>46132</v>
      </c>
      <c r="L263" s="7" t="s">
        <v>60</v>
      </c>
      <c r="M263" s="7" t="s">
        <v>194</v>
      </c>
      <c r="N263" s="6"/>
    </row>
    <row r="264" spans="1:14" x14ac:dyDescent="0.3">
      <c r="A264" s="5">
        <v>46128</v>
      </c>
      <c r="B264" s="10">
        <f ca="1">TODAY()-A264</f>
        <v>12</v>
      </c>
      <c r="C264" s="6">
        <v>1923080</v>
      </c>
      <c r="D264" s="13" t="s">
        <v>402</v>
      </c>
      <c r="E264" s="6">
        <v>86988851193</v>
      </c>
      <c r="F264" s="6" t="s">
        <v>196</v>
      </c>
      <c r="G264" s="6">
        <v>1</v>
      </c>
      <c r="H264" s="5">
        <v>46128</v>
      </c>
      <c r="I264" s="5">
        <v>46130</v>
      </c>
      <c r="J264" s="6" t="s">
        <v>158</v>
      </c>
      <c r="K264" s="5">
        <v>46134</v>
      </c>
      <c r="L264" s="7" t="s">
        <v>60</v>
      </c>
      <c r="M264" s="7" t="s">
        <v>194</v>
      </c>
      <c r="N264" s="6"/>
    </row>
    <row r="265" spans="1:14" x14ac:dyDescent="0.3">
      <c r="A265" s="5">
        <v>46129</v>
      </c>
      <c r="B265" s="10">
        <f ca="1">TODAY()-A265</f>
        <v>11</v>
      </c>
      <c r="C265" s="6">
        <v>1923786</v>
      </c>
      <c r="D265" s="13" t="s">
        <v>415</v>
      </c>
      <c r="E265" s="6" t="s">
        <v>416</v>
      </c>
      <c r="F265" s="6" t="s">
        <v>196</v>
      </c>
      <c r="G265" s="6">
        <v>1</v>
      </c>
      <c r="H265" s="5">
        <v>46129</v>
      </c>
      <c r="I265" s="5">
        <v>46132</v>
      </c>
      <c r="J265" s="6" t="s">
        <v>157</v>
      </c>
      <c r="K265" s="5">
        <v>46136</v>
      </c>
      <c r="L265" s="7" t="s">
        <v>60</v>
      </c>
      <c r="M265" s="7" t="s">
        <v>194</v>
      </c>
      <c r="N265" s="6"/>
    </row>
    <row r="266" spans="1:14" x14ac:dyDescent="0.3">
      <c r="A266" s="5">
        <v>46129</v>
      </c>
      <c r="B266" s="10">
        <f ca="1">TODAY()-A266</f>
        <v>11</v>
      </c>
      <c r="C266" s="6">
        <v>1923775</v>
      </c>
      <c r="D266" s="13" t="s">
        <v>419</v>
      </c>
      <c r="E266" s="6" t="s">
        <v>420</v>
      </c>
      <c r="F266" s="31" t="s">
        <v>427</v>
      </c>
      <c r="G266" s="6">
        <v>1</v>
      </c>
      <c r="H266" s="5">
        <v>46129</v>
      </c>
      <c r="I266" s="5">
        <v>46134</v>
      </c>
      <c r="J266" s="6" t="s">
        <v>164</v>
      </c>
      <c r="K266" s="5">
        <v>46135</v>
      </c>
      <c r="L266" s="7" t="s">
        <v>60</v>
      </c>
      <c r="M266" s="7" t="s">
        <v>194</v>
      </c>
      <c r="N266" s="6"/>
    </row>
    <row r="267" spans="1:14" x14ac:dyDescent="0.3">
      <c r="A267" s="5">
        <v>46129</v>
      </c>
      <c r="B267" s="10">
        <f ca="1">TODAY()-A267</f>
        <v>11</v>
      </c>
      <c r="C267" s="6">
        <v>1923773</v>
      </c>
      <c r="D267" s="13" t="s">
        <v>424</v>
      </c>
      <c r="E267" s="6" t="s">
        <v>423</v>
      </c>
      <c r="F267" s="31" t="s">
        <v>196</v>
      </c>
      <c r="G267" s="6">
        <v>1</v>
      </c>
      <c r="H267" s="5">
        <v>46134</v>
      </c>
      <c r="I267" s="5">
        <v>46134</v>
      </c>
      <c r="J267" s="6" t="s">
        <v>148</v>
      </c>
      <c r="K267" s="5">
        <v>46135</v>
      </c>
      <c r="L267" s="7" t="s">
        <v>60</v>
      </c>
      <c r="M267" s="7" t="s">
        <v>194</v>
      </c>
      <c r="N267" s="6" t="s">
        <v>434</v>
      </c>
    </row>
    <row r="268" spans="1:14" x14ac:dyDescent="0.3">
      <c r="A268" s="5">
        <v>46129</v>
      </c>
      <c r="B268" s="10">
        <f ca="1">TODAY()-A268</f>
        <v>11</v>
      </c>
      <c r="C268" s="6">
        <v>1923688</v>
      </c>
      <c r="D268" s="13" t="s">
        <v>409</v>
      </c>
      <c r="E268" s="6" t="s">
        <v>410</v>
      </c>
      <c r="F268" s="31" t="s">
        <v>300</v>
      </c>
      <c r="G268" s="6">
        <v>3</v>
      </c>
      <c r="H268" s="5">
        <v>46132</v>
      </c>
      <c r="I268" s="5">
        <v>46134</v>
      </c>
      <c r="J268" s="6" t="s">
        <v>147</v>
      </c>
      <c r="K268" s="5">
        <v>46135</v>
      </c>
      <c r="L268" s="7" t="s">
        <v>60</v>
      </c>
      <c r="M268" s="7" t="s">
        <v>194</v>
      </c>
      <c r="N268" s="6"/>
    </row>
    <row r="269" spans="1:14" x14ac:dyDescent="0.3">
      <c r="A269" s="5">
        <v>46129</v>
      </c>
      <c r="B269" s="10">
        <f ca="1">TODAY()-A269</f>
        <v>11</v>
      </c>
      <c r="C269" s="6">
        <v>1923709</v>
      </c>
      <c r="D269" s="13" t="s">
        <v>413</v>
      </c>
      <c r="E269" s="6" t="s">
        <v>414</v>
      </c>
      <c r="F269" s="6" t="s">
        <v>196</v>
      </c>
      <c r="G269" s="6">
        <v>1</v>
      </c>
      <c r="H269" s="5">
        <v>46129</v>
      </c>
      <c r="I269" s="5">
        <v>46134</v>
      </c>
      <c r="J269" s="6" t="s">
        <v>425</v>
      </c>
      <c r="K269" s="5">
        <v>46134</v>
      </c>
      <c r="L269" s="7" t="s">
        <v>60</v>
      </c>
      <c r="M269" s="7" t="s">
        <v>194</v>
      </c>
      <c r="N269" s="6"/>
    </row>
    <row r="270" spans="1:14" x14ac:dyDescent="0.3">
      <c r="A270" s="5">
        <v>46129</v>
      </c>
      <c r="B270" s="10">
        <f ca="1">TODAY()-A270</f>
        <v>11</v>
      </c>
      <c r="C270" s="6">
        <v>1923597</v>
      </c>
      <c r="D270" s="13" t="s">
        <v>406</v>
      </c>
      <c r="E270" s="6" t="s">
        <v>407</v>
      </c>
      <c r="F270" s="6" t="s">
        <v>185</v>
      </c>
      <c r="G270" s="6">
        <v>1</v>
      </c>
      <c r="H270" s="5">
        <v>46129</v>
      </c>
      <c r="I270" s="5">
        <v>46130</v>
      </c>
      <c r="J270" s="6" t="s">
        <v>198</v>
      </c>
      <c r="K270" s="5">
        <v>46132</v>
      </c>
      <c r="L270" s="7" t="s">
        <v>60</v>
      </c>
      <c r="M270" s="7" t="s">
        <v>194</v>
      </c>
      <c r="N270" s="6"/>
    </row>
    <row r="271" spans="1:14" x14ac:dyDescent="0.3">
      <c r="A271" s="5">
        <v>46129</v>
      </c>
      <c r="B271" s="10">
        <f ca="1">TODAY()-A271</f>
        <v>11</v>
      </c>
      <c r="C271" s="6">
        <v>1923770</v>
      </c>
      <c r="D271" s="13" t="s">
        <v>411</v>
      </c>
      <c r="E271" s="6" t="s">
        <v>412</v>
      </c>
      <c r="F271" s="6" t="s">
        <v>196</v>
      </c>
      <c r="G271" s="6">
        <v>1</v>
      </c>
      <c r="H271" s="5">
        <v>46129</v>
      </c>
      <c r="I271" s="5">
        <v>46132</v>
      </c>
      <c r="J271" s="6" t="s">
        <v>396</v>
      </c>
      <c r="K271" s="5">
        <v>46132</v>
      </c>
      <c r="L271" s="7" t="s">
        <v>60</v>
      </c>
      <c r="M271" s="7" t="s">
        <v>194</v>
      </c>
      <c r="N271" s="6"/>
    </row>
    <row r="272" spans="1:14" x14ac:dyDescent="0.3">
      <c r="A272" s="5">
        <v>46129</v>
      </c>
      <c r="B272" s="10">
        <f ca="1">TODAY()-A272</f>
        <v>11</v>
      </c>
      <c r="C272" s="6">
        <v>1923782</v>
      </c>
      <c r="D272" s="13" t="s">
        <v>417</v>
      </c>
      <c r="E272" s="6" t="s">
        <v>418</v>
      </c>
      <c r="F272" s="6" t="s">
        <v>196</v>
      </c>
      <c r="G272" s="6">
        <v>2</v>
      </c>
      <c r="H272" s="5">
        <v>46132</v>
      </c>
      <c r="I272" s="5">
        <v>46132</v>
      </c>
      <c r="J272" s="6" t="s">
        <v>433</v>
      </c>
      <c r="K272" s="5">
        <v>46134</v>
      </c>
      <c r="L272" s="7" t="s">
        <v>60</v>
      </c>
      <c r="M272" s="7" t="s">
        <v>194</v>
      </c>
      <c r="N272" s="6"/>
    </row>
    <row r="273" spans="1:14" x14ac:dyDescent="0.3">
      <c r="A273" s="5">
        <v>46129</v>
      </c>
      <c r="B273" s="10">
        <f ca="1">TODAY()-A273</f>
        <v>11</v>
      </c>
      <c r="C273" s="6">
        <v>1923706</v>
      </c>
      <c r="D273" s="13" t="s">
        <v>421</v>
      </c>
      <c r="E273" s="6" t="s">
        <v>422</v>
      </c>
      <c r="F273" s="6" t="s">
        <v>185</v>
      </c>
      <c r="G273" s="6">
        <v>1</v>
      </c>
      <c r="H273" s="5">
        <v>46129</v>
      </c>
      <c r="I273" s="5">
        <v>46132</v>
      </c>
      <c r="J273" s="6" t="s">
        <v>155</v>
      </c>
      <c r="K273" s="5">
        <v>46134</v>
      </c>
      <c r="L273" s="7" t="s">
        <v>60</v>
      </c>
      <c r="M273" s="7" t="s">
        <v>194</v>
      </c>
      <c r="N273" s="6"/>
    </row>
    <row r="274" spans="1:14" x14ac:dyDescent="0.3">
      <c r="A274" s="5">
        <v>46132</v>
      </c>
      <c r="B274" s="10">
        <f ca="1">TODAY()-A274</f>
        <v>8</v>
      </c>
      <c r="C274" s="6">
        <v>1924283</v>
      </c>
      <c r="D274" s="13" t="s">
        <v>437</v>
      </c>
      <c r="E274" s="6" t="s">
        <v>446</v>
      </c>
      <c r="F274" s="6" t="s">
        <v>187</v>
      </c>
      <c r="G274" s="6">
        <v>1</v>
      </c>
      <c r="H274" s="5">
        <v>46134</v>
      </c>
      <c r="I274" s="5">
        <v>46135</v>
      </c>
      <c r="J274" s="6" t="s">
        <v>343</v>
      </c>
      <c r="K274" s="5">
        <v>46136</v>
      </c>
      <c r="L274" s="7" t="s">
        <v>60</v>
      </c>
      <c r="M274" s="7" t="s">
        <v>194</v>
      </c>
      <c r="N274" s="6"/>
    </row>
    <row r="275" spans="1:14" x14ac:dyDescent="0.3">
      <c r="A275" s="5">
        <v>46132</v>
      </c>
      <c r="B275" s="10">
        <f ca="1">TODAY()-A275</f>
        <v>8</v>
      </c>
      <c r="C275" s="6">
        <v>1924131</v>
      </c>
      <c r="D275" s="13" t="s">
        <v>444</v>
      </c>
      <c r="E275" s="6" t="s">
        <v>452</v>
      </c>
      <c r="F275" s="6" t="s">
        <v>509</v>
      </c>
      <c r="G275" s="6">
        <v>2</v>
      </c>
      <c r="H275" s="5">
        <v>46134</v>
      </c>
      <c r="I275" s="5">
        <v>46135</v>
      </c>
      <c r="J275" s="6" t="s">
        <v>317</v>
      </c>
      <c r="K275" s="5">
        <v>46136</v>
      </c>
      <c r="L275" s="7" t="s">
        <v>60</v>
      </c>
      <c r="M275" s="7" t="s">
        <v>194</v>
      </c>
      <c r="N275" s="6"/>
    </row>
    <row r="276" spans="1:14" x14ac:dyDescent="0.3">
      <c r="A276" s="5">
        <v>46132</v>
      </c>
      <c r="B276" s="10">
        <f ca="1">TODAY()-A276</f>
        <v>8</v>
      </c>
      <c r="C276" s="6">
        <v>1924134</v>
      </c>
      <c r="D276" s="13" t="s">
        <v>443</v>
      </c>
      <c r="E276" s="6" t="s">
        <v>451</v>
      </c>
      <c r="F276" s="6" t="s">
        <v>196</v>
      </c>
      <c r="G276" s="6">
        <v>1</v>
      </c>
      <c r="H276" s="5">
        <v>46134</v>
      </c>
      <c r="I276" s="5">
        <v>46134</v>
      </c>
      <c r="J276" s="6" t="s">
        <v>158</v>
      </c>
      <c r="K276" s="5">
        <v>46134</v>
      </c>
      <c r="L276" s="7" t="s">
        <v>60</v>
      </c>
      <c r="M276" s="7" t="s">
        <v>193</v>
      </c>
      <c r="N276" s="6"/>
    </row>
    <row r="277" spans="1:14" x14ac:dyDescent="0.3">
      <c r="A277" s="5">
        <v>46132</v>
      </c>
      <c r="B277" s="10">
        <f ca="1">TODAY()-A277</f>
        <v>8</v>
      </c>
      <c r="C277" s="6">
        <v>1924287</v>
      </c>
      <c r="D277" s="13" t="s">
        <v>436</v>
      </c>
      <c r="E277" s="6">
        <v>11975852663</v>
      </c>
      <c r="F277" s="6" t="s">
        <v>187</v>
      </c>
      <c r="G277" s="6">
        <v>1</v>
      </c>
      <c r="H277" s="5">
        <v>46134</v>
      </c>
      <c r="I277" s="5">
        <v>46135</v>
      </c>
      <c r="J277" s="6" t="s">
        <v>155</v>
      </c>
      <c r="K277" s="5">
        <v>46135</v>
      </c>
      <c r="L277" s="7" t="s">
        <v>60</v>
      </c>
      <c r="M277" s="7" t="s">
        <v>194</v>
      </c>
      <c r="N277" s="6" t="s">
        <v>432</v>
      </c>
    </row>
    <row r="278" spans="1:14" x14ac:dyDescent="0.3">
      <c r="A278" s="5">
        <v>46132</v>
      </c>
      <c r="B278" s="10">
        <f ca="1">TODAY()-A278</f>
        <v>8</v>
      </c>
      <c r="C278" s="6">
        <v>1924213</v>
      </c>
      <c r="D278" s="13" t="s">
        <v>440</v>
      </c>
      <c r="E278" s="6" t="s">
        <v>449</v>
      </c>
      <c r="F278" s="6" t="s">
        <v>196</v>
      </c>
      <c r="G278" s="6">
        <v>1</v>
      </c>
      <c r="H278" s="5">
        <v>46134</v>
      </c>
      <c r="I278" s="5">
        <v>46135</v>
      </c>
      <c r="J278" s="6" t="s">
        <v>152</v>
      </c>
      <c r="K278" s="5">
        <v>46135</v>
      </c>
      <c r="L278" s="7" t="s">
        <v>60</v>
      </c>
      <c r="M278" s="7" t="s">
        <v>194</v>
      </c>
      <c r="N278" s="6"/>
    </row>
    <row r="279" spans="1:14" x14ac:dyDescent="0.3">
      <c r="A279" s="5">
        <v>46132</v>
      </c>
      <c r="B279" s="10">
        <f ca="1">TODAY()-A279</f>
        <v>8</v>
      </c>
      <c r="C279" s="6">
        <v>1924269</v>
      </c>
      <c r="D279" s="13" t="s">
        <v>439</v>
      </c>
      <c r="E279" s="6" t="s">
        <v>448</v>
      </c>
      <c r="F279" s="6" t="s">
        <v>185</v>
      </c>
      <c r="G279" s="6">
        <v>1</v>
      </c>
      <c r="H279" s="5">
        <v>46134</v>
      </c>
      <c r="I279" s="5">
        <v>46135</v>
      </c>
      <c r="J279" s="6" t="s">
        <v>154</v>
      </c>
      <c r="K279" s="5">
        <v>46136</v>
      </c>
      <c r="L279" s="7" t="s">
        <v>60</v>
      </c>
      <c r="M279" s="7" t="s">
        <v>193</v>
      </c>
      <c r="N279" s="6"/>
    </row>
    <row r="280" spans="1:14" x14ac:dyDescent="0.3">
      <c r="A280" s="5">
        <v>46132</v>
      </c>
      <c r="B280" s="10">
        <f ca="1">TODAY()-A280</f>
        <v>8</v>
      </c>
      <c r="C280" s="6">
        <v>1924147</v>
      </c>
      <c r="D280" s="13" t="s">
        <v>441</v>
      </c>
      <c r="E280" s="6" t="s">
        <v>450</v>
      </c>
      <c r="F280" s="6" t="s">
        <v>187</v>
      </c>
      <c r="G280" s="6">
        <v>1</v>
      </c>
      <c r="H280" s="5">
        <v>46134</v>
      </c>
      <c r="I280" s="5">
        <v>46136</v>
      </c>
      <c r="J280" s="6" t="s">
        <v>488</v>
      </c>
      <c r="K280" s="5">
        <v>46136</v>
      </c>
      <c r="L280" s="7" t="s">
        <v>60</v>
      </c>
      <c r="M280" s="7" t="s">
        <v>194</v>
      </c>
      <c r="N280" s="6" t="s">
        <v>432</v>
      </c>
    </row>
    <row r="281" spans="1:14" x14ac:dyDescent="0.3">
      <c r="A281" s="5">
        <v>46132</v>
      </c>
      <c r="B281" s="10">
        <f ca="1">TODAY()-A281</f>
        <v>8</v>
      </c>
      <c r="C281" s="6">
        <v>1924140</v>
      </c>
      <c r="D281" s="13" t="s">
        <v>442</v>
      </c>
      <c r="E281" s="6">
        <v>16997787338</v>
      </c>
      <c r="F281" s="6"/>
      <c r="G281" s="6">
        <v>1</v>
      </c>
      <c r="H281" s="5">
        <v>46135</v>
      </c>
      <c r="I281" s="5">
        <v>46136</v>
      </c>
      <c r="J281" s="6" t="s">
        <v>158</v>
      </c>
      <c r="K281" s="5">
        <v>46139</v>
      </c>
      <c r="L281" s="7" t="s">
        <v>60</v>
      </c>
      <c r="M281" s="7" t="s">
        <v>194</v>
      </c>
      <c r="N281" s="6"/>
    </row>
    <row r="282" spans="1:14" x14ac:dyDescent="0.3">
      <c r="A282" s="5">
        <v>46134</v>
      </c>
      <c r="B282" s="10">
        <f ca="1">TODAY()-A282</f>
        <v>6</v>
      </c>
      <c r="C282" s="6">
        <v>1924555</v>
      </c>
      <c r="D282" s="13" t="s">
        <v>475</v>
      </c>
      <c r="E282" s="6" t="s">
        <v>487</v>
      </c>
      <c r="F282" s="6" t="s">
        <v>196</v>
      </c>
      <c r="G282" s="6">
        <v>1</v>
      </c>
      <c r="H282" s="5">
        <v>46134</v>
      </c>
      <c r="I282" s="5">
        <v>46135</v>
      </c>
      <c r="J282" s="6" t="s">
        <v>157</v>
      </c>
      <c r="K282" s="5">
        <v>46136</v>
      </c>
      <c r="L282" s="7" t="s">
        <v>60</v>
      </c>
      <c r="M282" s="7" t="s">
        <v>194</v>
      </c>
      <c r="N282" s="6"/>
    </row>
    <row r="283" spans="1:14" x14ac:dyDescent="0.3">
      <c r="A283" s="5">
        <v>46134</v>
      </c>
      <c r="B283" s="10">
        <f ca="1">TODAY()-A283</f>
        <v>6</v>
      </c>
      <c r="C283" s="6">
        <v>1924553</v>
      </c>
      <c r="D283" s="13" t="s">
        <v>476</v>
      </c>
      <c r="E283" s="6" t="s">
        <v>483</v>
      </c>
      <c r="F283" s="6" t="s">
        <v>196</v>
      </c>
      <c r="G283" s="6">
        <v>1</v>
      </c>
      <c r="H283" s="5">
        <v>46134</v>
      </c>
      <c r="I283" s="5">
        <v>46135</v>
      </c>
      <c r="J283" s="6" t="s">
        <v>147</v>
      </c>
      <c r="K283" s="5">
        <v>46136</v>
      </c>
      <c r="L283" s="7" t="s">
        <v>60</v>
      </c>
      <c r="M283" s="7" t="s">
        <v>193</v>
      </c>
      <c r="N283" s="6"/>
    </row>
    <row r="284" spans="1:14" x14ac:dyDescent="0.3">
      <c r="A284" s="5">
        <v>46135</v>
      </c>
      <c r="B284" s="10">
        <f ca="1">TODAY()-A284</f>
        <v>5</v>
      </c>
      <c r="C284" s="6">
        <v>1925037</v>
      </c>
      <c r="D284" s="13" t="s">
        <v>492</v>
      </c>
      <c r="E284" s="6" t="s">
        <v>501</v>
      </c>
      <c r="F284" s="6" t="s">
        <v>185</v>
      </c>
      <c r="G284" s="6">
        <v>1</v>
      </c>
      <c r="H284" s="5">
        <v>46135</v>
      </c>
      <c r="I284" s="5">
        <v>46136</v>
      </c>
      <c r="J284" s="6" t="s">
        <v>157</v>
      </c>
      <c r="K284" s="5">
        <v>46136</v>
      </c>
      <c r="L284" s="7" t="s">
        <v>60</v>
      </c>
      <c r="M284" s="7" t="s">
        <v>194</v>
      </c>
      <c r="N284" s="6"/>
    </row>
    <row r="285" spans="1:14" x14ac:dyDescent="0.3">
      <c r="A285" s="5">
        <v>46135</v>
      </c>
      <c r="B285" s="10">
        <f ca="1">TODAY()-A285</f>
        <v>5</v>
      </c>
      <c r="C285" s="6">
        <v>1924966</v>
      </c>
      <c r="D285" s="13" t="s">
        <v>494</v>
      </c>
      <c r="E285" s="6" t="s">
        <v>502</v>
      </c>
      <c r="F285" s="6" t="s">
        <v>185</v>
      </c>
      <c r="G285" s="6">
        <v>2</v>
      </c>
      <c r="H285" s="5">
        <v>46135</v>
      </c>
      <c r="I285" s="5">
        <v>46136</v>
      </c>
      <c r="J285" s="6" t="s">
        <v>162</v>
      </c>
      <c r="K285" s="5">
        <v>46136</v>
      </c>
      <c r="L285" s="7" t="s">
        <v>60</v>
      </c>
      <c r="M285" s="7" t="s">
        <v>194</v>
      </c>
      <c r="N285" s="6"/>
    </row>
    <row r="286" spans="1:14" x14ac:dyDescent="0.3">
      <c r="A286" s="5">
        <v>46135</v>
      </c>
      <c r="B286" s="10">
        <f ca="1">TODAY()-A286</f>
        <v>5</v>
      </c>
      <c r="C286" s="6">
        <v>1925277</v>
      </c>
      <c r="D286" s="13" t="s">
        <v>495</v>
      </c>
      <c r="E286" s="6" t="s">
        <v>503</v>
      </c>
      <c r="F286" s="6" t="s">
        <v>185</v>
      </c>
      <c r="G286" s="6">
        <v>1</v>
      </c>
      <c r="H286" s="5">
        <v>46135</v>
      </c>
      <c r="I286" s="5">
        <v>46136</v>
      </c>
      <c r="J286" s="6" t="s">
        <v>243</v>
      </c>
      <c r="K286" s="5">
        <v>46136</v>
      </c>
      <c r="L286" s="7" t="s">
        <v>60</v>
      </c>
      <c r="M286" s="7" t="s">
        <v>194</v>
      </c>
      <c r="N286" s="6"/>
    </row>
    <row r="287" spans="1:14" x14ac:dyDescent="0.3">
      <c r="A287" s="5">
        <v>46135</v>
      </c>
      <c r="B287" s="10">
        <f ca="1">TODAY()-A287</f>
        <v>5</v>
      </c>
      <c r="C287" s="6">
        <v>1925056</v>
      </c>
      <c r="D287" s="13" t="s">
        <v>514</v>
      </c>
      <c r="E287" s="6" t="s">
        <v>505</v>
      </c>
      <c r="F287" s="6" t="s">
        <v>185</v>
      </c>
      <c r="G287" s="6">
        <v>1</v>
      </c>
      <c r="H287" s="5">
        <v>46135</v>
      </c>
      <c r="I287" s="5">
        <v>46136</v>
      </c>
      <c r="J287" s="6" t="s">
        <v>152</v>
      </c>
      <c r="K287" s="5">
        <v>46136</v>
      </c>
      <c r="L287" s="7" t="s">
        <v>60</v>
      </c>
      <c r="M287" s="7" t="s">
        <v>194</v>
      </c>
      <c r="N287" s="6"/>
    </row>
    <row r="288" spans="1:14" x14ac:dyDescent="0.3">
      <c r="A288" s="5">
        <v>46136</v>
      </c>
      <c r="B288" s="10">
        <f ca="1">TODAY()-A288</f>
        <v>4</v>
      </c>
      <c r="C288" s="10">
        <v>1925708</v>
      </c>
      <c r="D288" s="38" t="s">
        <v>518</v>
      </c>
      <c r="E288" s="6">
        <v>42998439188</v>
      </c>
      <c r="F288" s="6" t="s">
        <v>519</v>
      </c>
      <c r="G288" s="6">
        <v>2</v>
      </c>
      <c r="H288" s="5">
        <v>46139</v>
      </c>
      <c r="I288" s="5">
        <v>46139</v>
      </c>
      <c r="J288" s="5" t="s">
        <v>433</v>
      </c>
      <c r="K288" s="5"/>
      <c r="L288" s="7" t="s">
        <v>146</v>
      </c>
      <c r="M288" s="5"/>
      <c r="N288" s="7"/>
    </row>
    <row r="289" spans="1:14" x14ac:dyDescent="0.3">
      <c r="A289" s="5">
        <v>46139</v>
      </c>
      <c r="B289" s="10">
        <f ca="1">TODAY()-A289</f>
        <v>1</v>
      </c>
      <c r="C289" s="10">
        <v>1926562</v>
      </c>
      <c r="D289" s="38" t="s">
        <v>526</v>
      </c>
      <c r="E289" s="6">
        <v>48999586777</v>
      </c>
      <c r="F289" s="6" t="s">
        <v>196</v>
      </c>
      <c r="G289" s="6">
        <v>1</v>
      </c>
      <c r="H289" s="5">
        <v>46139</v>
      </c>
      <c r="I289" s="5">
        <v>46141</v>
      </c>
      <c r="J289" s="5" t="s">
        <v>317</v>
      </c>
      <c r="K289" s="5"/>
      <c r="L289" s="7" t="s">
        <v>146</v>
      </c>
      <c r="M289" s="5"/>
      <c r="N289" s="7"/>
    </row>
    <row r="290" spans="1:14" x14ac:dyDescent="0.3">
      <c r="A290" s="5">
        <v>46139</v>
      </c>
      <c r="B290" s="10">
        <v>1</v>
      </c>
      <c r="C290" s="10">
        <v>1926498</v>
      </c>
      <c r="D290" s="38" t="s">
        <v>529</v>
      </c>
      <c r="E290" s="6">
        <v>14991097652</v>
      </c>
      <c r="F290" s="6"/>
      <c r="G290" s="6">
        <v>1</v>
      </c>
      <c r="H290" s="5">
        <v>46139</v>
      </c>
      <c r="I290" s="5">
        <v>46144</v>
      </c>
      <c r="J290" s="5" t="s">
        <v>160</v>
      </c>
      <c r="K290" s="5"/>
      <c r="L290" s="7" t="s">
        <v>146</v>
      </c>
      <c r="M290" s="5"/>
      <c r="N290" s="7"/>
    </row>
    <row r="291" spans="1:14" x14ac:dyDescent="0.3">
      <c r="A291" s="5">
        <v>46127</v>
      </c>
      <c r="B291" s="10">
        <f ca="1">TODAY()-A291</f>
        <v>13</v>
      </c>
      <c r="C291" s="6">
        <v>1922679</v>
      </c>
      <c r="D291" s="13" t="s">
        <v>383</v>
      </c>
      <c r="E291" s="6" t="s">
        <v>384</v>
      </c>
      <c r="F291" s="6" t="s">
        <v>185</v>
      </c>
      <c r="G291" s="6">
        <v>1</v>
      </c>
      <c r="H291" s="5">
        <v>46128</v>
      </c>
      <c r="I291" s="5">
        <v>46140</v>
      </c>
      <c r="J291" s="6" t="s">
        <v>158</v>
      </c>
      <c r="K291" s="5">
        <v>46132</v>
      </c>
      <c r="L291" s="7" t="s">
        <v>146</v>
      </c>
      <c r="M291" s="7" t="s">
        <v>197</v>
      </c>
      <c r="N291" s="6" t="s">
        <v>197</v>
      </c>
    </row>
    <row r="292" spans="1:14" x14ac:dyDescent="0.3">
      <c r="A292" s="5">
        <v>46136</v>
      </c>
      <c r="B292" s="10">
        <f ca="1">TODAY()-A292</f>
        <v>4</v>
      </c>
      <c r="C292" s="10">
        <v>1925710</v>
      </c>
      <c r="D292" s="38" t="s">
        <v>520</v>
      </c>
      <c r="E292" s="6">
        <v>14999066884</v>
      </c>
      <c r="F292" s="6" t="s">
        <v>196</v>
      </c>
      <c r="G292" s="6">
        <v>1</v>
      </c>
      <c r="H292" s="5">
        <v>46139</v>
      </c>
      <c r="I292" s="5">
        <v>46140</v>
      </c>
      <c r="J292" s="5" t="s">
        <v>161</v>
      </c>
      <c r="K292" s="5"/>
      <c r="L292" s="7" t="s">
        <v>146</v>
      </c>
      <c r="M292" s="5"/>
      <c r="N292" s="7"/>
    </row>
    <row r="293" spans="1:14" x14ac:dyDescent="0.3">
      <c r="A293" s="5">
        <v>46119</v>
      </c>
      <c r="B293" s="10">
        <f ca="1">TODAY()-A293</f>
        <v>21</v>
      </c>
      <c r="C293" s="6">
        <v>1919821</v>
      </c>
      <c r="D293" s="13" t="s">
        <v>220</v>
      </c>
      <c r="E293" s="6">
        <v>27995152678</v>
      </c>
      <c r="F293" s="6"/>
      <c r="G293" s="6">
        <v>1</v>
      </c>
      <c r="H293" s="5">
        <v>46125</v>
      </c>
      <c r="I293" s="5">
        <v>46140</v>
      </c>
      <c r="J293" s="6" t="s">
        <v>243</v>
      </c>
      <c r="K293" s="5"/>
      <c r="L293" s="7" t="s">
        <v>146</v>
      </c>
      <c r="M293" s="7"/>
      <c r="N293" s="6"/>
    </row>
    <row r="294" spans="1:14" x14ac:dyDescent="0.3">
      <c r="A294" s="5">
        <v>46134</v>
      </c>
      <c r="B294" s="10">
        <f ca="1">TODAY()-A294</f>
        <v>6</v>
      </c>
      <c r="C294" s="6">
        <v>1924792</v>
      </c>
      <c r="D294" s="13" t="s">
        <v>470</v>
      </c>
      <c r="E294" s="6" t="s">
        <v>480</v>
      </c>
      <c r="F294" s="6"/>
      <c r="G294" s="6">
        <v>1</v>
      </c>
      <c r="H294" s="5">
        <v>46200</v>
      </c>
      <c r="I294" s="5">
        <v>46140</v>
      </c>
      <c r="J294" s="6" t="s">
        <v>510</v>
      </c>
      <c r="K294" s="5"/>
      <c r="L294" s="7" t="s">
        <v>146</v>
      </c>
      <c r="M294" s="7"/>
      <c r="N294" s="6"/>
    </row>
    <row r="295" spans="1:14" x14ac:dyDescent="0.3">
      <c r="A295" s="5">
        <v>46134</v>
      </c>
      <c r="B295" s="10">
        <f ca="1">TODAY()-A295</f>
        <v>6</v>
      </c>
      <c r="C295" s="6">
        <v>1924560</v>
      </c>
      <c r="D295" s="13" t="s">
        <v>473</v>
      </c>
      <c r="E295" s="6" t="s">
        <v>485</v>
      </c>
      <c r="F295" s="37"/>
      <c r="G295" s="6">
        <v>1</v>
      </c>
      <c r="H295" s="5">
        <v>46200</v>
      </c>
      <c r="I295" s="5">
        <v>46140</v>
      </c>
      <c r="J295" s="6" t="s">
        <v>164</v>
      </c>
      <c r="K295" s="5"/>
      <c r="L295" s="7" t="s">
        <v>146</v>
      </c>
      <c r="M295" s="7"/>
      <c r="N295" s="6"/>
    </row>
    <row r="296" spans="1:14" x14ac:dyDescent="0.3">
      <c r="A296" s="5">
        <v>46134</v>
      </c>
      <c r="B296" s="10">
        <f ca="1">TODAY()-A296</f>
        <v>6</v>
      </c>
      <c r="C296" s="6">
        <v>1924551</v>
      </c>
      <c r="D296" s="13" t="s">
        <v>472</v>
      </c>
      <c r="E296" s="6" t="s">
        <v>482</v>
      </c>
      <c r="F296" s="6" t="s">
        <v>185</v>
      </c>
      <c r="G296" s="6">
        <v>1</v>
      </c>
      <c r="H296" s="5">
        <v>46136</v>
      </c>
      <c r="I296" s="5">
        <v>46139</v>
      </c>
      <c r="J296" s="6" t="s">
        <v>510</v>
      </c>
      <c r="K296" s="5"/>
      <c r="L296" s="7" t="s">
        <v>146</v>
      </c>
      <c r="M296" s="7"/>
      <c r="N296" s="6"/>
    </row>
    <row r="297" spans="1:14" x14ac:dyDescent="0.3">
      <c r="A297" s="5">
        <v>46134</v>
      </c>
      <c r="B297" s="10">
        <f ca="1">TODAY()-A297</f>
        <v>6</v>
      </c>
      <c r="C297" s="6">
        <v>1924558</v>
      </c>
      <c r="D297" s="13" t="s">
        <v>474</v>
      </c>
      <c r="E297" s="6" t="s">
        <v>486</v>
      </c>
      <c r="F297" s="37"/>
      <c r="G297" s="6">
        <v>1</v>
      </c>
      <c r="H297" s="5">
        <v>46136</v>
      </c>
      <c r="I297" s="5">
        <v>46139</v>
      </c>
      <c r="J297" s="6" t="s">
        <v>148</v>
      </c>
      <c r="K297" s="5"/>
      <c r="L297" s="7" t="s">
        <v>146</v>
      </c>
      <c r="M297" s="7"/>
      <c r="N297" s="6"/>
    </row>
    <row r="298" spans="1:14" x14ac:dyDescent="0.3">
      <c r="A298" s="5">
        <v>46135</v>
      </c>
      <c r="B298" s="10">
        <f ca="1">TODAY()-A298</f>
        <v>5</v>
      </c>
      <c r="C298" s="6">
        <v>1924970</v>
      </c>
      <c r="D298" s="13" t="s">
        <v>500</v>
      </c>
      <c r="E298" s="6" t="s">
        <v>508</v>
      </c>
      <c r="F298" s="6"/>
      <c r="G298" s="6">
        <v>1</v>
      </c>
      <c r="H298" s="5">
        <v>46139</v>
      </c>
      <c r="I298" s="5">
        <v>46140</v>
      </c>
      <c r="J298" s="6" t="s">
        <v>153</v>
      </c>
      <c r="K298" s="5"/>
      <c r="L298" s="7" t="s">
        <v>146</v>
      </c>
      <c r="M298" s="7"/>
      <c r="N298" s="6"/>
    </row>
    <row r="299" spans="1:14" x14ac:dyDescent="0.3">
      <c r="A299" s="5">
        <v>46135</v>
      </c>
      <c r="B299" s="10">
        <f ca="1">TODAY()-A299</f>
        <v>5</v>
      </c>
      <c r="C299" s="6">
        <v>1924969</v>
      </c>
      <c r="D299" s="13" t="s">
        <v>493</v>
      </c>
      <c r="E299" s="6">
        <v>11930928482</v>
      </c>
      <c r="F299" s="6"/>
      <c r="G299" s="6">
        <v>1</v>
      </c>
      <c r="H299" s="5">
        <v>46136</v>
      </c>
      <c r="I299" s="5">
        <v>46142</v>
      </c>
      <c r="J299" s="6" t="s">
        <v>160</v>
      </c>
      <c r="K299" s="5"/>
      <c r="L299" s="7" t="s">
        <v>146</v>
      </c>
      <c r="M299" s="7"/>
      <c r="N299" s="6"/>
    </row>
    <row r="300" spans="1:14" x14ac:dyDescent="0.3">
      <c r="A300" s="5">
        <v>46136</v>
      </c>
      <c r="B300" s="10">
        <f ca="1">TODAY()-A300</f>
        <v>4</v>
      </c>
      <c r="C300" s="10">
        <v>1925616</v>
      </c>
      <c r="D300" s="38" t="s">
        <v>515</v>
      </c>
      <c r="E300" s="6">
        <v>17997022960</v>
      </c>
      <c r="F300" s="6" t="s">
        <v>196</v>
      </c>
      <c r="G300" s="6">
        <v>1</v>
      </c>
      <c r="H300" s="5">
        <v>46139</v>
      </c>
      <c r="I300" s="5">
        <v>46140</v>
      </c>
      <c r="J300" s="5" t="s">
        <v>148</v>
      </c>
      <c r="K300" s="5"/>
      <c r="L300" s="7" t="s">
        <v>146</v>
      </c>
      <c r="M300" s="5"/>
      <c r="N300" s="7"/>
    </row>
    <row r="301" spans="1:14" x14ac:dyDescent="0.3">
      <c r="A301" s="5">
        <v>46139</v>
      </c>
      <c r="B301" s="10">
        <v>1</v>
      </c>
      <c r="C301" s="10">
        <v>1926336</v>
      </c>
      <c r="D301" s="38" t="s">
        <v>530</v>
      </c>
      <c r="E301" s="6">
        <v>88992130232</v>
      </c>
      <c r="F301" s="6" t="s">
        <v>196</v>
      </c>
      <c r="G301" s="6">
        <v>1</v>
      </c>
      <c r="H301" s="5">
        <v>46139</v>
      </c>
      <c r="I301" s="5">
        <v>46142</v>
      </c>
      <c r="J301" s="5" t="s">
        <v>164</v>
      </c>
      <c r="K301" s="5"/>
      <c r="L301" s="7" t="s">
        <v>146</v>
      </c>
      <c r="M301" s="5"/>
      <c r="N301" s="7"/>
    </row>
    <row r="302" spans="1:14" x14ac:dyDescent="0.3">
      <c r="A302" s="5">
        <v>46139</v>
      </c>
      <c r="B302" s="10">
        <v>1</v>
      </c>
      <c r="C302" s="10">
        <v>1923516</v>
      </c>
      <c r="D302" s="38" t="s">
        <v>538</v>
      </c>
      <c r="E302" s="6">
        <v>62993583726</v>
      </c>
      <c r="F302" s="6" t="s">
        <v>187</v>
      </c>
      <c r="G302" s="6">
        <v>1</v>
      </c>
      <c r="H302" s="5">
        <v>46139</v>
      </c>
      <c r="I302" s="5"/>
      <c r="J302" s="5"/>
      <c r="K302" s="5"/>
      <c r="L302" s="7"/>
      <c r="M302" s="5"/>
      <c r="N302" s="7"/>
    </row>
  </sheetData>
  <sortState xmlns:xlrd2="http://schemas.microsoft.com/office/spreadsheetml/2017/richdata2" ref="A2:N184">
    <sortCondition ref="L1:L18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30789-946D-43AA-87DA-CAB756B34109}">
  <dimension ref="C1:D7"/>
  <sheetViews>
    <sheetView workbookViewId="0">
      <selection activeCell="I4" sqref="I4"/>
    </sheetView>
  </sheetViews>
  <sheetFormatPr defaultRowHeight="14.4" x14ac:dyDescent="0.3"/>
  <cols>
    <col min="3" max="3" width="22.5546875" customWidth="1"/>
    <col min="4" max="4" width="33.109375" customWidth="1"/>
  </cols>
  <sheetData>
    <row r="1" spans="3:4" ht="15.75" customHeight="1" x14ac:dyDescent="0.3"/>
    <row r="2" spans="3:4" ht="70.5" customHeight="1" x14ac:dyDescent="0.3">
      <c r="C2" s="4" t="s">
        <v>89</v>
      </c>
      <c r="D2" s="3" t="s">
        <v>170</v>
      </c>
    </row>
    <row r="3" spans="3:4" ht="70.5" customHeight="1" x14ac:dyDescent="0.3">
      <c r="C3" s="4" t="s">
        <v>173</v>
      </c>
      <c r="D3" s="3" t="s">
        <v>174</v>
      </c>
    </row>
    <row r="4" spans="3:4" ht="70.5" customHeight="1" x14ac:dyDescent="0.3">
      <c r="C4" s="4" t="s">
        <v>146</v>
      </c>
      <c r="D4" s="3" t="s">
        <v>171</v>
      </c>
    </row>
    <row r="5" spans="3:4" ht="70.5" customHeight="1" x14ac:dyDescent="0.3">
      <c r="C5" s="4" t="s">
        <v>169</v>
      </c>
      <c r="D5" s="3" t="s">
        <v>172</v>
      </c>
    </row>
    <row r="6" spans="3:4" ht="70.5" customHeight="1" x14ac:dyDescent="0.3">
      <c r="C6" s="4" t="s">
        <v>78</v>
      </c>
    </row>
    <row r="7" spans="3:4" ht="46.2" customHeight="1" x14ac:dyDescent="0.3">
      <c r="C7" s="4" t="s">
        <v>169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3A4B-F741-4C51-B8AC-1E54108038F0}">
  <dimension ref="B3:J6"/>
  <sheetViews>
    <sheetView workbookViewId="0">
      <selection activeCell="E7" sqref="E7"/>
    </sheetView>
  </sheetViews>
  <sheetFormatPr defaultRowHeight="14.4" x14ac:dyDescent="0.3"/>
  <cols>
    <col min="2" max="2" width="29.6640625" customWidth="1"/>
    <col min="3" max="3" width="7.21875" customWidth="1"/>
    <col min="4" max="4" width="28.21875" customWidth="1"/>
    <col min="5" max="5" width="8.44140625" customWidth="1"/>
    <col min="6" max="6" width="28.21875" customWidth="1"/>
    <col min="7" max="7" width="6.6640625" customWidth="1"/>
    <col min="8" max="8" width="28.21875" customWidth="1"/>
    <col min="9" max="9" width="6.6640625" customWidth="1"/>
    <col min="10" max="10" width="28.21875" customWidth="1"/>
  </cols>
  <sheetData>
    <row r="3" spans="2:10" ht="26.4" customHeight="1" x14ac:dyDescent="0.3">
      <c r="B3" s="2" t="s">
        <v>453</v>
      </c>
      <c r="D3" s="2" t="s">
        <v>455</v>
      </c>
      <c r="F3" s="2" t="s">
        <v>454</v>
      </c>
      <c r="H3" s="2" t="s">
        <v>456</v>
      </c>
      <c r="J3" s="2" t="s">
        <v>457</v>
      </c>
    </row>
    <row r="4" spans="2:10" ht="22.8" customHeight="1" x14ac:dyDescent="0.3">
      <c r="B4" t="s">
        <v>458</v>
      </c>
      <c r="D4" t="s">
        <v>459</v>
      </c>
      <c r="F4" t="s">
        <v>459</v>
      </c>
      <c r="H4" t="s">
        <v>459</v>
      </c>
      <c r="J4" t="s">
        <v>459</v>
      </c>
    </row>
    <row r="5" spans="2:10" ht="18.600000000000001" customHeight="1" x14ac:dyDescent="0.3">
      <c r="B5" t="s">
        <v>462</v>
      </c>
      <c r="D5" t="s">
        <v>460</v>
      </c>
      <c r="F5" t="s">
        <v>460</v>
      </c>
      <c r="H5" t="s">
        <v>460</v>
      </c>
      <c r="J5" t="s">
        <v>460</v>
      </c>
    </row>
    <row r="6" spans="2:10" x14ac:dyDescent="0.3">
      <c r="D6" t="s">
        <v>461</v>
      </c>
      <c r="F6" t="s">
        <v>461</v>
      </c>
      <c r="H6" t="s">
        <v>461</v>
      </c>
      <c r="J6" t="s">
        <v>461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BEEC-DE9C-4484-A6D7-76FEE0B553A6}">
  <dimension ref="B3:B9"/>
  <sheetViews>
    <sheetView workbookViewId="0">
      <selection activeCell="B12" sqref="B12"/>
    </sheetView>
  </sheetViews>
  <sheetFormatPr defaultRowHeight="14.4" x14ac:dyDescent="0.3"/>
  <cols>
    <col min="2" max="2" width="68.88671875" bestFit="1" customWidth="1"/>
  </cols>
  <sheetData>
    <row r="3" spans="2:2" x14ac:dyDescent="0.3">
      <c r="B3" t="s">
        <v>463</v>
      </c>
    </row>
    <row r="5" spans="2:2" x14ac:dyDescent="0.3">
      <c r="B5" s="36" t="s">
        <v>464</v>
      </c>
    </row>
    <row r="7" spans="2:2" x14ac:dyDescent="0.3">
      <c r="B7" s="36" t="s">
        <v>465</v>
      </c>
    </row>
    <row r="9" spans="2:2" x14ac:dyDescent="0.3">
      <c r="B9" s="36" t="s">
        <v>466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C3B0E-B167-48B0-AD17-BCC7DF343880}">
  <dimension ref="A1"/>
  <sheetViews>
    <sheetView showGridLines="0" showRowColHeaders="0" topLeftCell="B2" zoomScale="85" zoomScaleNormal="85" workbookViewId="0">
      <selection activeCell="Z21" sqref="Z21"/>
    </sheetView>
  </sheetViews>
  <sheetFormatPr defaultRowHeight="14.4" x14ac:dyDescent="0.3"/>
  <cols>
    <col min="1" max="16384" width="8.88671875" style="23"/>
  </cols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Dinâmica</vt:lpstr>
      <vt:lpstr>Base - Cardif</vt:lpstr>
      <vt:lpstr>Status</vt:lpstr>
      <vt:lpstr>Atividades-Analistas</vt:lpstr>
      <vt:lpstr>Sistema</vt:lpstr>
      <vt:lpstr>Deshboard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Take</dc:creator>
  <cp:lastModifiedBy>Thiago Amaral</cp:lastModifiedBy>
  <dcterms:created xsi:type="dcterms:W3CDTF">2026-04-06T18:06:08Z</dcterms:created>
  <dcterms:modified xsi:type="dcterms:W3CDTF">2026-04-28T17:43:56Z</dcterms:modified>
</cp:coreProperties>
</file>